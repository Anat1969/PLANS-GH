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וכניות בינוי" sheetId="1" state="visible" r:id="rId1"/>
    <sheet name="סיכו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9C5700"/>
      <sz val="10"/>
    </font>
    <font>
      <name val="Arial"/>
      <b val="1"/>
    </font>
    <font>
      <name val="Arial"/>
      <b val="1"/>
      <color rgb="007A1F2B"/>
      <sz val="12"/>
    </font>
  </fonts>
  <fills count="3">
    <fill>
      <patternFill/>
    </fill>
    <fill>
      <patternFill patternType="gray125"/>
    </fill>
    <fill>
      <patternFill patternType="solid">
        <fgColor rgb="007A1F2B"/>
      </patternFill>
    </fill>
  </fills>
  <borders count="2">
    <border>
      <left/>
      <right/>
      <top/>
      <bottom/>
      <diagonal/>
    </border>
    <border>
      <bottom style="thin">
        <color rgb="00D9D4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right"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lans" displayName="Plans" ref="A1:X41" headerRowCount="1">
  <autoFilter ref="A1:X41"/>
  <tableColumns count="24">
    <tableColumn id="1" name="מס׳ תיק"/>
    <tableColumn id="2" name="מס׳ תכנית"/>
    <tableColumn id="3" name="רובע"/>
    <tableColumn id="4" name="מיקום / מגרש"/>
    <tableColumn id="5" name="שם הפרויקט"/>
    <tableColumn id="6" name="תב״ע חלה"/>
    <tableColumn id="7" name="ייעוד"/>
    <tableColumn id="8" name="גוש / חלקה"/>
    <tableColumn id="9" name="יזם"/>
    <tableColumn id="10" name="טלפון יזם"/>
    <tableColumn id="11" name="מייל יזם"/>
    <tableColumn id="12" name="אדריכל / מגיש"/>
    <tableColumn id="13" name="טלפון אדריכל"/>
    <tableColumn id="14" name="מייל אדריכל"/>
    <tableColumn id="15" name="איש קשר"/>
    <tableColumn id="16" name="טלפון איש קשר"/>
    <tableColumn id="17" name="תאריך פתיחה"/>
    <tableColumn id="18" name="תאריך ועדה"/>
    <tableColumn id="19" name="מס׳ ישיבה"/>
    <tableColumn id="20" name="החלטת ועדה"/>
    <tableColumn id="21" name="סטטוס"/>
    <tableColumn id="22" name="מטפלת"/>
    <tableColumn id="23" name="הקלות מבוקשות"/>
    <tableColumn id="24" name="הערות לבדיקה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26" customWidth="1" min="4" max="4"/>
    <col width="34" customWidth="1" min="5" max="5"/>
    <col width="15" customWidth="1" min="6" max="6"/>
    <col width="22" customWidth="1" min="7" max="7"/>
    <col width="18" customWidth="1" min="8" max="8"/>
    <col width="28" customWidth="1" min="9" max="9"/>
    <col width="13" customWidth="1" min="10" max="10"/>
    <col width="26" customWidth="1" min="11" max="11"/>
    <col width="22" customWidth="1" min="12" max="12"/>
    <col width="13" customWidth="1" min="13" max="13"/>
    <col width="26" customWidth="1" min="14" max="14"/>
    <col width="16" customWidth="1" min="15" max="15"/>
    <col width="13" customWidth="1" min="16" max="16"/>
    <col width="12" customWidth="1" min="17" max="17"/>
    <col width="12" customWidth="1" min="18" max="18"/>
    <col width="10" customWidth="1" min="19" max="19"/>
    <col width="40" customWidth="1" min="20" max="20"/>
    <col width="11" customWidth="1" min="21" max="21"/>
    <col width="14" customWidth="1" min="22" max="22"/>
    <col width="50" customWidth="1" min="23" max="23"/>
    <col width="34" customWidth="1" min="24" max="24"/>
  </cols>
  <sheetData>
    <row r="1" ht="32" customHeight="1">
      <c r="A1" s="1" t="inlineStr">
        <is>
          <t>מס׳ תיק</t>
        </is>
      </c>
      <c r="B1" s="1" t="inlineStr">
        <is>
          <t>מס׳ תכנית</t>
        </is>
      </c>
      <c r="C1" s="1" t="inlineStr">
        <is>
          <t>רובע</t>
        </is>
      </c>
      <c r="D1" s="1" t="inlineStr">
        <is>
          <t>מיקום / מגרש</t>
        </is>
      </c>
      <c r="E1" s="1" t="inlineStr">
        <is>
          <t>שם הפרויקט</t>
        </is>
      </c>
      <c r="F1" s="1" t="inlineStr">
        <is>
          <t>תב״ע חלה</t>
        </is>
      </c>
      <c r="G1" s="1" t="inlineStr">
        <is>
          <t>ייעוד</t>
        </is>
      </c>
      <c r="H1" s="1" t="inlineStr">
        <is>
          <t>גוש / חלקה</t>
        </is>
      </c>
      <c r="I1" s="1" t="inlineStr">
        <is>
          <t>יזם</t>
        </is>
      </c>
      <c r="J1" s="1" t="inlineStr">
        <is>
          <t>טלפון יזם</t>
        </is>
      </c>
      <c r="K1" s="1" t="inlineStr">
        <is>
          <t>מייל יזם</t>
        </is>
      </c>
      <c r="L1" s="1" t="inlineStr">
        <is>
          <t>אדריכל / מגיש</t>
        </is>
      </c>
      <c r="M1" s="1" t="inlineStr">
        <is>
          <t>טלפון אדריכל</t>
        </is>
      </c>
      <c r="N1" s="1" t="inlineStr">
        <is>
          <t>מייל אדריכל</t>
        </is>
      </c>
      <c r="O1" s="1" t="inlineStr">
        <is>
          <t>איש קשר</t>
        </is>
      </c>
      <c r="P1" s="1" t="inlineStr">
        <is>
          <t>טלפון איש קשר</t>
        </is>
      </c>
      <c r="Q1" s="1" t="inlineStr">
        <is>
          <t>תאריך פתיחה</t>
        </is>
      </c>
      <c r="R1" s="1" t="inlineStr">
        <is>
          <t>תאריך ועדה</t>
        </is>
      </c>
      <c r="S1" s="1" t="inlineStr">
        <is>
          <t>מס׳ ישיבה</t>
        </is>
      </c>
      <c r="T1" s="1" t="inlineStr">
        <is>
          <t>החלטת ועדה</t>
        </is>
      </c>
      <c r="U1" s="1" t="inlineStr">
        <is>
          <t>סטטוס</t>
        </is>
      </c>
      <c r="V1" s="1" t="inlineStr">
        <is>
          <t>מטפלת</t>
        </is>
      </c>
      <c r="W1" s="1" t="inlineStr">
        <is>
          <t>הקלות מבוקשות</t>
        </is>
      </c>
      <c r="X1" s="1" t="inlineStr">
        <is>
          <t>הערות לבדיקה</t>
        </is>
      </c>
    </row>
    <row r="2">
      <c r="A2" s="2" t="n">
        <v>1747</v>
      </c>
      <c r="B2" s="2" t="inlineStr">
        <is>
          <t>תב/1743</t>
        </is>
      </c>
      <c r="C2" s="2" t="inlineStr">
        <is>
          <t>מיוחד</t>
        </is>
      </c>
      <c r="D2" s="2" t="inlineStr">
        <is>
          <t>מגרש מתחם י"א הרובע המיוחד</t>
        </is>
      </c>
      <c r="E2" s="2" t="inlineStr"/>
      <c r="F2" s="2" t="inlineStr">
        <is>
          <t>603-0811588</t>
        </is>
      </c>
      <c r="G2" s="2" t="inlineStr"/>
      <c r="H2" s="2" t="inlineStr"/>
      <c r="I2" s="2" t="inlineStr"/>
      <c r="J2" s="2" t="inlineStr"/>
      <c r="K2" s="2" t="inlineStr"/>
      <c r="L2" s="2" t="inlineStr">
        <is>
          <t>אד' הדס אדריכלות ועיצוב בעמ</t>
        </is>
      </c>
      <c r="M2" s="2" t="inlineStr"/>
      <c r="N2" s="2" t="inlineStr"/>
      <c r="O2" s="2" t="inlineStr"/>
      <c r="P2" s="2" t="inlineStr"/>
      <c r="Q2" s="3" t="n">
        <v>45225</v>
      </c>
      <c r="R2" s="3" t="n"/>
      <c r="S2" s="2" t="inlineStr"/>
      <c r="T2" s="2" t="inlineStr"/>
      <c r="U2" s="2" t="inlineStr">
        <is>
          <t>הושלם</t>
        </is>
      </c>
      <c r="V2" s="2" t="inlineStr">
        <is>
          <t>ענת שטיבלמן</t>
        </is>
      </c>
      <c r="W2" s="2" t="inlineStr"/>
      <c r="X2" s="4" t="inlineStr">
        <is>
          <t>מס׳ התיק שונה ממס׳ התכנית</t>
        </is>
      </c>
    </row>
    <row r="3">
      <c r="A3" s="2" t="n">
        <v>1749</v>
      </c>
      <c r="B3" s="2" t="inlineStr">
        <is>
          <t>תב/1745</t>
        </is>
      </c>
      <c r="C3" s="2" t="inlineStr">
        <is>
          <t>מיוחד</t>
        </is>
      </c>
      <c r="D3" s="2" t="inlineStr">
        <is>
          <t>מגרשים 602-605</t>
        </is>
      </c>
      <c r="E3" s="2" t="inlineStr"/>
      <c r="F3" s="2" t="inlineStr">
        <is>
          <t>603-0811588</t>
        </is>
      </c>
      <c r="G3" s="2" t="inlineStr"/>
      <c r="H3" s="2" t="inlineStr"/>
      <c r="I3" s="2" t="inlineStr"/>
      <c r="J3" s="2" t="inlineStr"/>
      <c r="K3" s="2" t="inlineStr"/>
      <c r="L3" s="2" t="inlineStr">
        <is>
          <t>אד' גנאדי טרוינין</t>
        </is>
      </c>
      <c r="M3" s="2" t="inlineStr"/>
      <c r="N3" s="2" t="inlineStr"/>
      <c r="O3" s="2" t="inlineStr"/>
      <c r="P3" s="2" t="inlineStr"/>
      <c r="Q3" s="3" t="n">
        <v>45236</v>
      </c>
      <c r="R3" s="3" t="n"/>
      <c r="S3" s="2" t="inlineStr"/>
      <c r="T3" s="2" t="inlineStr"/>
      <c r="U3" s="2" t="inlineStr">
        <is>
          <t>הושלם</t>
        </is>
      </c>
      <c r="V3" s="2" t="inlineStr">
        <is>
          <t>ענת שטיבלמן</t>
        </is>
      </c>
      <c r="W3" s="2" t="inlineStr"/>
      <c r="X3" s="4" t="inlineStr">
        <is>
          <t>מס׳ התיק שונה ממס׳ התכנית</t>
        </is>
      </c>
    </row>
    <row r="4">
      <c r="A4" s="2" t="n">
        <v>1753</v>
      </c>
      <c r="B4" s="2" t="inlineStr">
        <is>
          <t>תב/1739</t>
        </is>
      </c>
      <c r="C4" s="2" t="inlineStr">
        <is>
          <t>ט"ז</t>
        </is>
      </c>
      <c r="D4" s="2" t="inlineStr">
        <is>
          <t>מגרש מנגו 4</t>
        </is>
      </c>
      <c r="E4" s="2" t="inlineStr"/>
      <c r="F4" s="2" t="inlineStr">
        <is>
          <t>603-03117784</t>
        </is>
      </c>
      <c r="G4" s="2" t="inlineStr"/>
      <c r="H4" s="2" t="inlineStr"/>
      <c r="I4" s="2" t="inlineStr"/>
      <c r="J4" s="2" t="inlineStr"/>
      <c r="K4" s="2" t="inlineStr"/>
      <c r="L4" s="2" t="inlineStr">
        <is>
          <t>אד' גנאדי טרוינין</t>
        </is>
      </c>
      <c r="M4" s="2" t="inlineStr"/>
      <c r="N4" s="2" t="inlineStr"/>
      <c r="O4" s="2" t="inlineStr"/>
      <c r="P4" s="2" t="inlineStr"/>
      <c r="Q4" s="3" t="n">
        <v>45267</v>
      </c>
      <c r="R4" s="3" t="n"/>
      <c r="S4" s="2" t="inlineStr"/>
      <c r="T4" s="2" t="inlineStr"/>
      <c r="U4" s="2" t="inlineStr">
        <is>
          <t>הושלם</t>
        </is>
      </c>
      <c r="V4" s="2" t="inlineStr">
        <is>
          <t>ענת שטיבלמן</t>
        </is>
      </c>
      <c r="W4" s="2" t="inlineStr"/>
      <c r="X4" s="4" t="inlineStr">
        <is>
          <t>מס׳ התיק שונה ממס׳ התכנית</t>
        </is>
      </c>
    </row>
    <row r="5">
      <c r="A5" s="2" t="n">
        <v>1754</v>
      </c>
      <c r="B5" s="2" t="inlineStr">
        <is>
          <t>תב/1736</t>
        </is>
      </c>
      <c r="C5" s="2" t="inlineStr">
        <is>
          <t>חוף הים</t>
        </is>
      </c>
      <c r="D5" s="2" t="inlineStr">
        <is>
          <t>מגרש חוף הים</t>
        </is>
      </c>
      <c r="E5" s="2" t="inlineStr"/>
      <c r="F5" s="2" t="inlineStr">
        <is>
          <t>44/101/02/3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אד' יואל פייגין</t>
        </is>
      </c>
      <c r="M5" s="2" t="inlineStr"/>
      <c r="N5" s="2" t="inlineStr"/>
      <c r="O5" s="2" t="inlineStr"/>
      <c r="P5" s="2" t="inlineStr"/>
      <c r="Q5" s="3" t="n">
        <v>45270</v>
      </c>
      <c r="R5" s="3" t="n"/>
      <c r="S5" s="2" t="inlineStr"/>
      <c r="T5" s="2" t="inlineStr"/>
      <c r="U5" s="2" t="inlineStr">
        <is>
          <t>הושלם</t>
        </is>
      </c>
      <c r="V5" s="2" t="inlineStr">
        <is>
          <t>ענת שטיבלמן</t>
        </is>
      </c>
      <c r="W5" s="2" t="inlineStr"/>
      <c r="X5" s="4" t="inlineStr">
        <is>
          <t>מס׳ התיק שונה ממס׳ התכנית; מס׳ תיק כפול</t>
        </is>
      </c>
    </row>
    <row r="6">
      <c r="A6" s="2" t="n">
        <v>1732</v>
      </c>
      <c r="B6" s="2" t="inlineStr">
        <is>
          <t>תב/1732</t>
        </is>
      </c>
      <c r="C6" s="2" t="inlineStr">
        <is>
          <t>מרינה</t>
        </is>
      </c>
      <c r="D6" s="2" t="inlineStr">
        <is>
          <t>מגרש מרינה</t>
        </is>
      </c>
      <c r="E6" s="2" t="inlineStr">
        <is>
          <t>תוכנית בינוי - תב/1732 - מגרשים 46,51 - יזם: אסטנג'לוב</t>
        </is>
      </c>
      <c r="F6" s="2" t="inlineStr">
        <is>
          <t>112/101/02/3</t>
        </is>
      </c>
      <c r="G6" s="2" t="inlineStr">
        <is>
          <t>מסחר ומלון (מגרש 46), מגורים (מגרש 51)</t>
        </is>
      </c>
      <c r="H6" s="2" t="inlineStr">
        <is>
          <t>גוש 2791 חלקות 62-86</t>
        </is>
      </c>
      <c r="I6" s="2" t="inlineStr">
        <is>
          <t>אסטנג'לוב השקעות בע"מ</t>
        </is>
      </c>
      <c r="J6" s="2" t="inlineStr"/>
      <c r="K6" s="2" t="inlineStr"/>
      <c r="L6" s="2" t="inlineStr">
        <is>
          <t>דני רוזן</t>
        </is>
      </c>
      <c r="M6" s="2" t="inlineStr"/>
      <c r="N6" s="2" t="inlineStr"/>
      <c r="O6" s="2" t="inlineStr"/>
      <c r="P6" s="2" t="inlineStr"/>
      <c r="Q6" s="3" t="n">
        <v>45427</v>
      </c>
      <c r="R6" s="3" t="n">
        <v>45434</v>
      </c>
      <c r="S6" s="2" t="inlineStr">
        <is>
          <t>202402</t>
        </is>
      </c>
      <c r="T6" s="2" t="inlineStr">
        <is>
          <t>לאשר את תכנית הבינוי בכפוף לתיקונים</t>
        </is>
      </c>
      <c r="U6" s="2" t="inlineStr">
        <is>
          <t>הושלם</t>
        </is>
      </c>
      <c r="V6" s="2" t="inlineStr">
        <is>
          <t>ענת שטיבלמן</t>
        </is>
      </c>
      <c r="W6" s="2" t="inlineStr">
        <is>
          <t>הקלות בקווי בניין לבריכות; מרחק בין בנייני מגורים 11.25-13.75 במקום 20 מ'; הנמכת מפלס 0.00 והחניון; המרת וניוד שטחי שירות למלונאות ומסחר; חדר יציאה ופרגולה לגג המלון; הקטנת שטח חלחול מ-30% ל-12%; זיקות הנאה.</t>
        </is>
      </c>
      <c r="X6" s="2" t="inlineStr"/>
    </row>
    <row r="7">
      <c r="A7" s="2" t="n">
        <v>1778</v>
      </c>
      <c r="B7" s="2" t="inlineStr">
        <is>
          <t>תב/1750</t>
        </is>
      </c>
      <c r="C7" s="2" t="inlineStr">
        <is>
          <t>פארק לכיש</t>
        </is>
      </c>
      <c r="D7" s="2" t="inlineStr">
        <is>
          <t>מגרש פארק לכיש מגרשים 27,29,32</t>
        </is>
      </c>
      <c r="E7" s="2" t="inlineStr"/>
      <c r="F7" s="2" t="inlineStr">
        <is>
          <t>תמל 1062</t>
        </is>
      </c>
      <c r="G7" s="2" t="inlineStr"/>
      <c r="H7" s="2" t="inlineStr"/>
      <c r="I7" s="2" t="inlineStr"/>
      <c r="J7" s="2" t="inlineStr"/>
      <c r="K7" s="2" t="inlineStr"/>
      <c r="L7" s="2" t="inlineStr">
        <is>
          <t>אד' טטרו שחר אדריכלים</t>
        </is>
      </c>
      <c r="M7" s="2" t="inlineStr"/>
      <c r="N7" s="2" t="inlineStr"/>
      <c r="O7" s="2" t="inlineStr"/>
      <c r="P7" s="2" t="inlineStr"/>
      <c r="Q7" s="3" t="n">
        <v>45544</v>
      </c>
      <c r="R7" s="3" t="n"/>
      <c r="S7" s="2" t="inlineStr"/>
      <c r="T7" s="2" t="inlineStr"/>
      <c r="U7" s="2" t="inlineStr">
        <is>
          <t>הושלם</t>
        </is>
      </c>
      <c r="V7" s="2" t="inlineStr">
        <is>
          <t>ענת שטיבלמן</t>
        </is>
      </c>
      <c r="W7" s="2" t="inlineStr"/>
      <c r="X7" s="4" t="inlineStr">
        <is>
          <t>מס׳ התיק שונה ממס׳ התכנית</t>
        </is>
      </c>
    </row>
    <row r="8">
      <c r="A8" s="2" t="n">
        <v>1800</v>
      </c>
      <c r="B8" s="2" t="inlineStr">
        <is>
          <t>תב/1800</t>
        </is>
      </c>
      <c r="C8" s="2" t="inlineStr">
        <is>
          <t>מיוחד</t>
        </is>
      </c>
      <c r="D8" s="2" t="inlineStr">
        <is>
          <t>מגרש 625-626</t>
        </is>
      </c>
      <c r="E8" s="2" t="inlineStr">
        <is>
          <t>תוכנית בינוי - תב/1800 / רובע מיוחד - מגרשים 625-626</t>
        </is>
      </c>
      <c r="F8" s="2" t="inlineStr">
        <is>
          <t>603-0811588</t>
        </is>
      </c>
      <c r="G8" s="2" t="inlineStr">
        <is>
          <t>מגורים בלבד</t>
        </is>
      </c>
      <c r="H8" s="2" t="inlineStr">
        <is>
          <t>גוש 181 חלקות 10, 11, 16, 24, 64</t>
        </is>
      </c>
      <c r="I8" s="2" t="inlineStr">
        <is>
          <t>האחים ישראל בע"מ</t>
        </is>
      </c>
      <c r="J8" s="2" t="inlineStr">
        <is>
          <t>02-6245552</t>
        </is>
      </c>
      <c r="K8" s="2" t="inlineStr">
        <is>
          <t>office@israelbrothers.co.il</t>
        </is>
      </c>
      <c r="L8" s="2" t="inlineStr">
        <is>
          <t>עמית וינברג</t>
        </is>
      </c>
      <c r="M8" s="2" t="inlineStr">
        <is>
          <t>054-6435646</t>
        </is>
      </c>
      <c r="N8" s="2" t="inlineStr">
        <is>
          <t>amitw.arch@gmail.com</t>
        </is>
      </c>
      <c r="O8" s="2" t="inlineStr">
        <is>
          <t>הראל קאפח</t>
        </is>
      </c>
      <c r="P8" s="2" t="inlineStr">
        <is>
          <t>052-8389616</t>
        </is>
      </c>
      <c r="Q8" s="3" t="n">
        <v>45593</v>
      </c>
      <c r="R8" s="3" t="n">
        <v>45650</v>
      </c>
      <c r="S8" s="2" t="inlineStr">
        <is>
          <t>202411</t>
        </is>
      </c>
      <c r="T8" s="2" t="inlineStr">
        <is>
          <t>לאשר את תכנית הבינוי</t>
        </is>
      </c>
      <c r="U8" s="2" t="inlineStr">
        <is>
          <t>הושלם</t>
        </is>
      </c>
      <c r="V8" s="2" t="inlineStr">
        <is>
          <t>ענת שטיבלמן</t>
        </is>
      </c>
      <c r="W8" s="2" t="inlineStr">
        <is>
          <t>הקלות: ניוד, תכסית, נסיגות, תקן חנייה; תקן חניה 1:1.5 לכלל הדירות; הקלה לחניות אורחים מ-20% ל-10%; הקלה למיקום המחסנים.</t>
        </is>
      </c>
      <c r="X8" s="2" t="inlineStr"/>
    </row>
    <row r="9">
      <c r="A9" s="2" t="n">
        <v>1811</v>
      </c>
      <c r="B9" s="2" t="inlineStr">
        <is>
          <t>תב/1811</t>
        </is>
      </c>
      <c r="C9" s="2" t="inlineStr">
        <is>
          <t>מיוחד</t>
        </is>
      </c>
      <c r="D9" s="2" t="inlineStr">
        <is>
          <t>מגרש 601</t>
        </is>
      </c>
      <c r="E9" s="2" t="inlineStr">
        <is>
          <t>תב/1811 תוכנית בינוי - מגרש 601 - יזם: יצחק אטיאס</t>
        </is>
      </c>
      <c r="F9" s="2" t="inlineStr">
        <is>
          <t>603-0811588</t>
        </is>
      </c>
      <c r="G9" s="2" t="inlineStr">
        <is>
          <t>מגורים ד'</t>
        </is>
      </c>
      <c r="H9" s="2" t="inlineStr">
        <is>
          <t>גוש 2022 חלקה 7</t>
        </is>
      </c>
      <c r="I9" s="2" t="inlineStr">
        <is>
          <t>יצחק אטיאס חברה לבנייה בע"מ (איש קשר: דודו אטיאס)</t>
        </is>
      </c>
      <c r="J9" s="2" t="inlineStr">
        <is>
          <t>0537395569</t>
        </is>
      </c>
      <c r="K9" s="2" t="inlineStr">
        <is>
          <t>dudu@atias.co.il</t>
        </is>
      </c>
      <c r="L9" s="2" t="inlineStr">
        <is>
          <t>דאובר אדריכלים</t>
        </is>
      </c>
      <c r="M9" s="2" t="inlineStr">
        <is>
          <t>035227717</t>
        </is>
      </c>
      <c r="N9" s="2" t="inlineStr">
        <is>
          <t>galz@dauber-arch.co.il</t>
        </is>
      </c>
      <c r="O9" s="2" t="inlineStr"/>
      <c r="P9" s="2" t="inlineStr"/>
      <c r="Q9" s="3" t="n">
        <v>45594</v>
      </c>
      <c r="R9" s="3" t="n">
        <v>45790</v>
      </c>
      <c r="S9" s="2" t="inlineStr">
        <is>
          <t>202507</t>
        </is>
      </c>
      <c r="T9" s="2" t="inlineStr">
        <is>
          <t>לאשר את תכנית הבינוי</t>
        </is>
      </c>
      <c r="U9" s="2" t="inlineStr">
        <is>
          <t>הושלם</t>
        </is>
      </c>
      <c r="V9" s="2" t="inlineStr">
        <is>
          <t>ענת שטיבלמן</t>
        </is>
      </c>
      <c r="W9" s="2" t="inlineStr"/>
      <c r="X9" s="2" t="inlineStr"/>
    </row>
    <row r="10">
      <c r="A10" s="2" t="n">
        <v>1807</v>
      </c>
      <c r="B10" s="2" t="inlineStr">
        <is>
          <t>תב/1815</t>
        </is>
      </c>
      <c r="C10" s="2" t="inlineStr">
        <is>
          <t>מרינה</t>
        </is>
      </c>
      <c r="D10" s="2" t="inlineStr">
        <is>
          <t>מגרש 50,45</t>
        </is>
      </c>
      <c r="E10" s="2" t="inlineStr">
        <is>
          <t>תוכנית בינוי - תב/1815 - מרינה - יחד הבונים ייזום ובנייה בע"מ</t>
        </is>
      </c>
      <c r="F10" s="2" t="inlineStr">
        <is>
          <t>112/101/02/3</t>
        </is>
      </c>
      <c r="G10" s="2" t="inlineStr"/>
      <c r="H10" s="2" t="inlineStr">
        <is>
          <t>גוש 2791 חלקה 63</t>
        </is>
      </c>
      <c r="I10" s="2" t="inlineStr">
        <is>
          <t>יחד הבונים ייזום ובנייה בע"מ</t>
        </is>
      </c>
      <c r="J10" s="2" t="inlineStr">
        <is>
          <t>08-8530996</t>
        </is>
      </c>
      <c r="K10" s="2" t="inlineStr">
        <is>
          <t>yachad@y-hb.co.il</t>
        </is>
      </c>
      <c r="L10" s="2" t="inlineStr">
        <is>
          <t>מוטי בניטה</t>
        </is>
      </c>
      <c r="M10" s="2" t="inlineStr">
        <is>
          <t>054-4291705</t>
        </is>
      </c>
      <c r="N10" s="2" t="inlineStr">
        <is>
          <t>studiomotib@gmail.com</t>
        </is>
      </c>
      <c r="O10" s="2" t="inlineStr">
        <is>
          <t>אלי רוז</t>
        </is>
      </c>
      <c r="P10" s="2" t="inlineStr">
        <is>
          <t>0544250681</t>
        </is>
      </c>
      <c r="Q10" s="3" t="n">
        <v>45615</v>
      </c>
      <c r="R10" s="3" t="n">
        <v>45678</v>
      </c>
      <c r="S10" s="2" t="inlineStr">
        <is>
          <t>202502</t>
        </is>
      </c>
      <c r="T10" s="2" t="inlineStr">
        <is>
          <t>לאשר את תכנית הבינוי</t>
        </is>
      </c>
      <c r="U10" s="2" t="inlineStr">
        <is>
          <t>הושלם</t>
        </is>
      </c>
      <c r="V10" s="2" t="inlineStr">
        <is>
          <t>ענת שטיבלמן</t>
        </is>
      </c>
      <c r="W10" s="2" t="inlineStr">
        <is>
          <t>הקלה ליציאה לגג המלון עם בריכה; ניוד שטחים עיקריים; הנמכת 0.00 כ-2.05; ברכות פרטיות לדירות גן וגג (כ-18); הקלה לקו בניין קדמי ואחורי לבליטת מרפסות; הקלה לחניה מתקן מקומי לארצי</t>
        </is>
      </c>
      <c r="X10" s="4" t="inlineStr">
        <is>
          <t>מס׳ התיק שונה ממס׳ התכנית</t>
        </is>
      </c>
    </row>
    <row r="11">
      <c r="A11" s="2" t="n">
        <v>1808</v>
      </c>
      <c r="B11" s="2" t="inlineStr">
        <is>
          <t>תב/1816</t>
        </is>
      </c>
      <c r="C11" s="2" t="inlineStr">
        <is>
          <t>מרינה</t>
        </is>
      </c>
      <c r="D11" s="2" t="inlineStr">
        <is>
          <t>מגרש 52,47</t>
        </is>
      </c>
      <c r="E11" s="2" t="inlineStr"/>
      <c r="F11" s="2" t="inlineStr">
        <is>
          <t>112/101/02/3</t>
        </is>
      </c>
      <c r="G11" s="2" t="inlineStr"/>
      <c r="H11" s="2" t="inlineStr"/>
      <c r="I11" s="2" t="inlineStr"/>
      <c r="J11" s="2" t="inlineStr"/>
      <c r="K11" s="2" t="inlineStr"/>
      <c r="L11" s="2" t="inlineStr">
        <is>
          <t>אד' אפי</t>
        </is>
      </c>
      <c r="M11" s="2" t="inlineStr"/>
      <c r="N11" s="2" t="inlineStr"/>
      <c r="O11" s="2" t="inlineStr"/>
      <c r="P11" s="2" t="inlineStr"/>
      <c r="Q11" s="3" t="n">
        <v>45616</v>
      </c>
      <c r="R11" s="3" t="n"/>
      <c r="S11" s="2" t="inlineStr"/>
      <c r="T11" s="2" t="inlineStr"/>
      <c r="U11" s="2" t="inlineStr">
        <is>
          <t>הושלם</t>
        </is>
      </c>
      <c r="V11" s="2" t="inlineStr">
        <is>
          <t>ענת שטיבלמן</t>
        </is>
      </c>
      <c r="W11" s="2" t="inlineStr"/>
      <c r="X11" s="4" t="inlineStr">
        <is>
          <t>מס׳ התיק שונה ממס׳ התכנית</t>
        </is>
      </c>
    </row>
    <row r="12">
      <c r="A12" s="2" t="n">
        <v>1809</v>
      </c>
      <c r="B12" s="2" t="inlineStr">
        <is>
          <t>תב/1824</t>
        </is>
      </c>
      <c r="C12" s="2" t="inlineStr">
        <is>
          <t>סיטי</t>
        </is>
      </c>
      <c r="D12" s="2" t="inlineStr">
        <is>
          <t>מגרש 141</t>
        </is>
      </c>
      <c r="E12" s="2" t="inlineStr"/>
      <c r="F12" s="2" t="inlineStr">
        <is>
          <t>603-0735282</t>
        </is>
      </c>
      <c r="G12" s="2" t="inlineStr"/>
      <c r="H12" s="2" t="inlineStr"/>
      <c r="I12" s="2" t="inlineStr"/>
      <c r="J12" s="2" t="inlineStr"/>
      <c r="K12" s="2" t="inlineStr"/>
      <c r="L12" s="2" t="inlineStr">
        <is>
          <t>אד' דוד שבזין</t>
        </is>
      </c>
      <c r="M12" s="2" t="inlineStr"/>
      <c r="N12" s="2" t="inlineStr"/>
      <c r="O12" s="2" t="inlineStr"/>
      <c r="P12" s="2" t="inlineStr"/>
      <c r="Q12" s="3" t="n">
        <v>45617</v>
      </c>
      <c r="R12" s="3" t="n"/>
      <c r="S12" s="2" t="inlineStr"/>
      <c r="T12" s="2" t="inlineStr"/>
      <c r="U12" s="2" t="inlineStr">
        <is>
          <t>הושלם</t>
        </is>
      </c>
      <c r="V12" s="2" t="inlineStr">
        <is>
          <t>ענת שטיבלמן</t>
        </is>
      </c>
      <c r="W12" s="2" t="inlineStr"/>
      <c r="X12" s="4" t="inlineStr">
        <is>
          <t>מס׳ התיק שונה ממס׳ התכנית</t>
        </is>
      </c>
    </row>
    <row r="13">
      <c r="A13" s="2" t="n">
        <v>1810</v>
      </c>
      <c r="B13" s="2" t="inlineStr">
        <is>
          <t>תב/1713</t>
        </is>
      </c>
      <c r="C13" s="2" t="inlineStr">
        <is>
          <t>מיוחד</t>
        </is>
      </c>
      <c r="D13" s="2" t="inlineStr">
        <is>
          <t>מגרש 618</t>
        </is>
      </c>
      <c r="E13" s="2" t="inlineStr"/>
      <c r="F13" s="2" t="inlineStr">
        <is>
          <t>603-0811588</t>
        </is>
      </c>
      <c r="G13" s="2" t="inlineStr"/>
      <c r="H13" s="2" t="inlineStr"/>
      <c r="I13" s="2" t="inlineStr"/>
      <c r="J13" s="2" t="inlineStr"/>
      <c r="K13" s="2" t="inlineStr"/>
      <c r="L13" s="2" t="inlineStr">
        <is>
          <t>אד' טיטו אומן</t>
        </is>
      </c>
      <c r="M13" s="2" t="inlineStr"/>
      <c r="N13" s="2" t="inlineStr"/>
      <c r="O13" s="2" t="inlineStr"/>
      <c r="P13" s="2" t="inlineStr"/>
      <c r="Q13" s="3" t="n">
        <v>45617</v>
      </c>
      <c r="R13" s="3" t="n"/>
      <c r="S13" s="2" t="inlineStr"/>
      <c r="T13" s="2" t="inlineStr"/>
      <c r="U13" s="2" t="inlineStr">
        <is>
          <t>הושלם</t>
        </is>
      </c>
      <c r="V13" s="2" t="inlineStr">
        <is>
          <t>ענת שטיבלמן</t>
        </is>
      </c>
      <c r="W13" s="2" t="inlineStr"/>
      <c r="X13" s="4" t="inlineStr">
        <is>
          <t>מס׳ התיק שונה ממס׳ התכנית</t>
        </is>
      </c>
    </row>
    <row r="14">
      <c r="A14" s="2" t="n">
        <v>1714</v>
      </c>
      <c r="B14" s="2" t="inlineStr">
        <is>
          <t>תב/1714</t>
        </is>
      </c>
      <c r="C14" s="2" t="inlineStr">
        <is>
          <t>טו'</t>
        </is>
      </c>
      <c r="D14" s="2" t="inlineStr">
        <is>
          <t>מגרש 18</t>
        </is>
      </c>
      <c r="E14" s="2" t="inlineStr">
        <is>
          <t>ריבירה - מגרש 18 מגורים ומלונאות</t>
        </is>
      </c>
      <c r="F14" s="2" t="inlineStr">
        <is>
          <t>603-0262121</t>
        </is>
      </c>
      <c r="G14" s="2" t="inlineStr">
        <is>
          <t>מלונאות, מגורים ומסחר</t>
        </is>
      </c>
      <c r="H14" s="2" t="inlineStr">
        <is>
          <t>גוש 2649 חלקה 5</t>
        </is>
      </c>
      <c r="I14" s="2" t="inlineStr">
        <is>
          <t>אבו יחיאל חברה לבניין בע"מ</t>
        </is>
      </c>
      <c r="J14" s="2" t="inlineStr">
        <is>
          <t>054-2609503</t>
        </is>
      </c>
      <c r="K14" s="2" t="inlineStr">
        <is>
          <t>office@abultd.com</t>
        </is>
      </c>
      <c r="L14" s="2" t="inlineStr">
        <is>
          <t>יואל פייגין</t>
        </is>
      </c>
      <c r="M14" s="2" t="inlineStr">
        <is>
          <t>03-6791000</t>
        </is>
      </c>
      <c r="N14" s="2" t="inlineStr">
        <is>
          <t>feigin@feiginarch.co.il</t>
        </is>
      </c>
      <c r="O14" s="2" t="inlineStr">
        <is>
          <t>מוטי אסולין</t>
        </is>
      </c>
      <c r="P14" s="2" t="inlineStr">
        <is>
          <t>053-4210422</t>
        </is>
      </c>
      <c r="Q14" s="3" t="n">
        <v>45622</v>
      </c>
      <c r="R14" s="3" t="n">
        <v>45629</v>
      </c>
      <c r="S14" s="2" t="inlineStr">
        <is>
          <t>202410</t>
        </is>
      </c>
      <c r="T14" s="2" t="inlineStr">
        <is>
          <t>לאשר את תכנית הבינוי</t>
        </is>
      </c>
      <c r="U14" s="2" t="inlineStr">
        <is>
          <t>הושלם</t>
        </is>
      </c>
      <c r="V14" s="2" t="inlineStr">
        <is>
          <t>ענת שטיבלמן</t>
        </is>
      </c>
      <c r="W14" s="2" t="inlineStr">
        <is>
          <t>הקלה בתקן חנייה למגורים (מיחס 1:1 לדירות קטנות ליחס 1:0.75) להשלמת כ-43 מקומות חנייה; נושא ההקלות יעודכן וייבחן בהליך הרישוי.</t>
        </is>
      </c>
      <c r="X14" s="2" t="inlineStr"/>
    </row>
    <row r="15">
      <c r="A15" s="2" t="n">
        <v>1754</v>
      </c>
      <c r="B15" s="2" t="inlineStr">
        <is>
          <t>תב/1730</t>
        </is>
      </c>
      <c r="C15" s="2" t="inlineStr">
        <is>
          <t>סיטי</t>
        </is>
      </c>
      <c r="D15" s="2" t="inlineStr">
        <is>
          <t>מגרש 142</t>
        </is>
      </c>
      <c r="E15" s="2" t="inlineStr"/>
      <c r="F15" s="2" t="inlineStr">
        <is>
          <t>603-0735282</t>
        </is>
      </c>
      <c r="G15" s="2" t="inlineStr"/>
      <c r="H15" s="2" t="inlineStr"/>
      <c r="I15" s="2" t="inlineStr"/>
      <c r="J15" s="2" t="inlineStr"/>
      <c r="K15" s="2" t="inlineStr"/>
      <c r="L15" s="2" t="inlineStr">
        <is>
          <t>אד' דוד</t>
        </is>
      </c>
      <c r="M15" s="2" t="inlineStr"/>
      <c r="N15" s="2" t="inlineStr"/>
      <c r="O15" s="2" t="inlineStr"/>
      <c r="P15" s="2" t="inlineStr"/>
      <c r="Q15" s="3" t="n">
        <v>45628</v>
      </c>
      <c r="R15" s="3" t="n"/>
      <c r="S15" s="2" t="inlineStr"/>
      <c r="T15" s="2" t="inlineStr"/>
      <c r="U15" s="2" t="inlineStr">
        <is>
          <t>הושלם</t>
        </is>
      </c>
      <c r="V15" s="2" t="inlineStr">
        <is>
          <t>ענת שטיבלמן</t>
        </is>
      </c>
      <c r="W15" s="2" t="inlineStr"/>
      <c r="X15" s="4" t="inlineStr">
        <is>
          <t>מס׳ התיק שונה ממס׳ התכנית; מס׳ תיק כפול</t>
        </is>
      </c>
    </row>
    <row r="16">
      <c r="A16" s="2" t="n">
        <v>1815</v>
      </c>
      <c r="B16" s="2" t="inlineStr">
        <is>
          <t>תב/1735</t>
        </is>
      </c>
      <c r="C16" s="2" t="inlineStr">
        <is>
          <t>מיוחד</t>
        </is>
      </c>
      <c r="D16" s="2" t="inlineStr">
        <is>
          <t>מגרש 619</t>
        </is>
      </c>
      <c r="E16" s="2" t="inlineStr"/>
      <c r="F16" s="2" t="inlineStr">
        <is>
          <t>603-0811588</t>
        </is>
      </c>
      <c r="G16" s="2" t="inlineStr"/>
      <c r="H16" s="2" t="inlineStr"/>
      <c r="I16" s="2" t="inlineStr"/>
      <c r="J16" s="2" t="inlineStr"/>
      <c r="K16" s="2" t="inlineStr"/>
      <c r="L16" s="2" t="inlineStr">
        <is>
          <t>אד' אליעזר</t>
        </is>
      </c>
      <c r="M16" s="2" t="inlineStr"/>
      <c r="N16" s="2" t="inlineStr"/>
      <c r="O16" s="2" t="inlineStr"/>
      <c r="P16" s="2" t="inlineStr"/>
      <c r="Q16" s="3" t="n">
        <v>45628</v>
      </c>
      <c r="R16" s="3" t="n"/>
      <c r="S16" s="2" t="inlineStr"/>
      <c r="T16" s="2" t="inlineStr"/>
      <c r="U16" s="2" t="inlineStr">
        <is>
          <t>הושלם</t>
        </is>
      </c>
      <c r="V16" s="2" t="inlineStr">
        <is>
          <t>ענת שטיבלמן</t>
        </is>
      </c>
      <c r="W16" s="2" t="inlineStr"/>
      <c r="X16" s="4" t="inlineStr">
        <is>
          <t>מס׳ התיק שונה ממס׳ התכנית</t>
        </is>
      </c>
    </row>
    <row r="17">
      <c r="A17" s="2" t="n">
        <v>1844</v>
      </c>
      <c r="B17" s="2" t="inlineStr">
        <is>
          <t>תב/1844</t>
        </is>
      </c>
      <c r="C17" s="2" t="inlineStr">
        <is>
          <t>פארק לכיש</t>
        </is>
      </c>
      <c r="D17" s="2" t="inlineStr">
        <is>
          <t>מגרש 502 - פארק לכיש</t>
        </is>
      </c>
      <c r="E17" s="2" t="inlineStr">
        <is>
          <t>תוכנית בינוי - תב/1844 - מגרש 502 - יזם גל יוזמה</t>
        </is>
      </c>
      <c r="F17" s="2" t="inlineStr">
        <is>
          <t>תמל 1062</t>
        </is>
      </c>
      <c r="G17" s="2" t="inlineStr">
        <is>
          <t>מסחר ותעסוקה</t>
        </is>
      </c>
      <c r="H17" s="2" t="inlineStr">
        <is>
          <t>גוש 2062 חלקה 122</t>
        </is>
      </c>
      <c r="I17" s="2" t="inlineStr">
        <is>
          <t>גל יוזמה מרכזי מסחר בע"מ</t>
        </is>
      </c>
      <c r="J17" s="2" t="inlineStr"/>
      <c r="K17" s="2" t="inlineStr"/>
      <c r="L17" s="2" t="inlineStr">
        <is>
          <t>גיא גולדשטיין, גיא אדריכלים</t>
        </is>
      </c>
      <c r="M17" s="2" t="inlineStr"/>
      <c r="N17" s="2" t="inlineStr"/>
      <c r="O17" s="2" t="inlineStr"/>
      <c r="P17" s="2" t="inlineStr"/>
      <c r="Q17" s="3" t="n">
        <v>45774</v>
      </c>
      <c r="R17" s="3" t="n">
        <v>45790</v>
      </c>
      <c r="S17" s="2" t="inlineStr">
        <is>
          <t>202507</t>
        </is>
      </c>
      <c r="T17" s="2" t="inlineStr">
        <is>
          <t>לאשר את תכנית הבינוי</t>
        </is>
      </c>
      <c r="U17" s="2" t="inlineStr">
        <is>
          <t>הושלם</t>
        </is>
      </c>
      <c r="V17" s="2" t="inlineStr">
        <is>
          <t>ענת שטיבלמן</t>
        </is>
      </c>
      <c r="W17" s="2" t="inlineStr"/>
      <c r="X17" s="2" t="inlineStr"/>
    </row>
    <row r="18">
      <c r="A18" s="2" t="n">
        <v>1845</v>
      </c>
      <c r="B18" s="2" t="inlineStr">
        <is>
          <t>תב/1845</t>
        </is>
      </c>
      <c r="C18" s="2" t="inlineStr">
        <is>
          <t>מע"ר דרום</t>
        </is>
      </c>
      <c r="D18" s="2" t="inlineStr">
        <is>
          <t>מגרש 106,33</t>
        </is>
      </c>
      <c r="E18" s="2" t="inlineStr">
        <is>
          <t>תוכנית בינוי - תב/1845 - מגרשים 33,106 - יזם חיים רוקח</t>
        </is>
      </c>
      <c r="F18" s="2" t="inlineStr">
        <is>
          <t>603-0477232</t>
        </is>
      </c>
      <c r="G18" s="2" t="inlineStr">
        <is>
          <t>מגורים; מסחר ותעסוקה</t>
        </is>
      </c>
      <c r="H18" s="2" t="inlineStr">
        <is>
          <t>גוש 3174 חלקה 3</t>
        </is>
      </c>
      <c r="I18" s="2" t="inlineStr">
        <is>
          <t>רוקח חברה לבניה בע"מ</t>
        </is>
      </c>
      <c r="J18" s="2" t="inlineStr"/>
      <c r="K18" s="2" t="inlineStr"/>
      <c r="L18" s="2" t="inlineStr">
        <is>
          <t>הרן ילין אדריכלות ובינוי ערים</t>
        </is>
      </c>
      <c r="M18" s="2" t="inlineStr"/>
      <c r="N18" s="2" t="inlineStr"/>
      <c r="O18" s="2" t="inlineStr"/>
      <c r="P18" s="2" t="inlineStr"/>
      <c r="Q18" s="3" t="n">
        <v>45774</v>
      </c>
      <c r="R18" s="3" t="n">
        <v>45790</v>
      </c>
      <c r="S18" s="2" t="inlineStr">
        <is>
          <t>202507</t>
        </is>
      </c>
      <c r="T18" s="2" t="inlineStr">
        <is>
          <t>לאשר את תכנית הבינוי המוצעת בכפוף לתנאים המפורטים בהערות הבדיקה</t>
        </is>
      </c>
      <c r="U18" s="2" t="inlineStr">
        <is>
          <t>הושלם</t>
        </is>
      </c>
      <c r="V18" s="2" t="inlineStr">
        <is>
          <t>ענת שטיבלמן</t>
        </is>
      </c>
      <c r="W18" s="2" t="inlineStr">
        <is>
          <t>רישום זיקות הנאה; חניה משותפת לשני המגרשים; ניהול מי נגר לשצ"פ הסמוך; חריגה בתכסית החניון התת-קרקעי ל-100% במגרש 106; חניה עילית לרכב מסחרי אחד לפריקה וטעינה</t>
        </is>
      </c>
      <c r="X18" s="2" t="inlineStr"/>
    </row>
    <row r="19">
      <c r="A19" s="2" t="n">
        <v>1847</v>
      </c>
      <c r="B19" s="2" t="inlineStr">
        <is>
          <t>תב/1847</t>
        </is>
      </c>
      <c r="C19" s="2" t="inlineStr">
        <is>
          <t>א'</t>
        </is>
      </c>
      <c r="D19" s="2" t="inlineStr">
        <is>
          <t>מגרש 24</t>
        </is>
      </c>
      <c r="E19" s="2" t="inlineStr"/>
      <c r="F19" s="2" t="inlineStr">
        <is>
          <t>603-0394320</t>
        </is>
      </c>
      <c r="G19" s="2" t="inlineStr"/>
      <c r="H19" s="2" t="inlineStr"/>
      <c r="I19" s="2" t="inlineStr"/>
      <c r="J19" s="2" t="inlineStr"/>
      <c r="K19" s="2" t="inlineStr"/>
      <c r="L19" s="2" t="inlineStr">
        <is>
          <t>אד' אלי זהבי</t>
        </is>
      </c>
      <c r="M19" s="2" t="inlineStr"/>
      <c r="N19" s="2" t="inlineStr"/>
      <c r="O19" s="2" t="inlineStr"/>
      <c r="P19" s="2" t="inlineStr"/>
      <c r="Q19" s="3" t="n">
        <v>45777</v>
      </c>
      <c r="R19" s="3" t="n"/>
      <c r="S19" s="2" t="inlineStr"/>
      <c r="T19" s="2" t="inlineStr"/>
      <c r="U19" s="2" t="inlineStr">
        <is>
          <t>הושלם</t>
        </is>
      </c>
      <c r="V19" s="2" t="inlineStr">
        <is>
          <t>ענת שטיבלמן</t>
        </is>
      </c>
      <c r="W19" s="2" t="inlineStr"/>
      <c r="X19" s="2" t="inlineStr"/>
    </row>
    <row r="20">
      <c r="A20" s="2" t="n">
        <v>1862</v>
      </c>
      <c r="B20" s="2" t="inlineStr">
        <is>
          <t>תב/1862</t>
        </is>
      </c>
      <c r="C20" s="2" t="inlineStr">
        <is>
          <t>מע"ר דרום</t>
        </is>
      </c>
      <c r="D20" s="2" t="inlineStr">
        <is>
          <t>מגרש 5</t>
        </is>
      </c>
      <c r="E20" s="2" t="inlineStr">
        <is>
          <t>תוכנית בינוי תב/1862 - מגרש 5 - יזם: אבו יחיאל - אד': גיל מיניסטר</t>
        </is>
      </c>
      <c r="F20" s="2" t="inlineStr">
        <is>
          <t>603-0477232</t>
        </is>
      </c>
      <c r="G20" s="2" t="inlineStr">
        <is>
          <t>מגורים</t>
        </is>
      </c>
      <c r="H20" s="2" t="inlineStr">
        <is>
          <t>גוש 3174 ח"ח 28</t>
        </is>
      </c>
      <c r="I20" s="2" t="inlineStr">
        <is>
          <t>אבו יחיאל חברה לבנין בע"מ</t>
        </is>
      </c>
      <c r="J20" s="2" t="inlineStr">
        <is>
          <t>052-9591310</t>
        </is>
      </c>
      <c r="K20" s="2" t="inlineStr">
        <is>
          <t>shirel@abultd.com</t>
        </is>
      </c>
      <c r="L20" s="2" t="inlineStr">
        <is>
          <t>גיל מינסטר אדריכלים</t>
        </is>
      </c>
      <c r="M20" s="2" t="inlineStr">
        <is>
          <t>08-9362618</t>
        </is>
      </c>
      <c r="N20" s="2" t="inlineStr">
        <is>
          <t>office@gilminster.com</t>
        </is>
      </c>
      <c r="O20" s="2" t="inlineStr"/>
      <c r="P20" s="2" t="inlineStr"/>
      <c r="Q20" s="3" t="n">
        <v>45858</v>
      </c>
      <c r="R20" s="3" t="n">
        <v>45965</v>
      </c>
      <c r="S20" s="2" t="inlineStr">
        <is>
          <t>202514</t>
        </is>
      </c>
      <c r="T20" s="2" t="inlineStr">
        <is>
          <t>לאשר את השינויים לתכנית הבינוי</t>
        </is>
      </c>
      <c r="U20" s="2" t="inlineStr">
        <is>
          <t>הושלם</t>
        </is>
      </c>
      <c r="V20" s="2" t="inlineStr">
        <is>
          <t>ענת שטיבלמן</t>
        </is>
      </c>
      <c r="W20" s="2" t="inlineStr">
        <is>
          <t>תוספת 2 קומות ו-2 יחידות דיור (דו-קומתיות) על גג המבנה הקיים לבניין B; חדר יציאה לגג; מרפסות גג וזיז; פרגולות; בריכה לכל דירה (2 ברכות)</t>
        </is>
      </c>
      <c r="X20" s="2" t="inlineStr"/>
    </row>
    <row r="21">
      <c r="A21" s="2" t="n">
        <v>1863</v>
      </c>
      <c r="B21" s="2" t="inlineStr">
        <is>
          <t>תב/1863</t>
        </is>
      </c>
      <c r="C21" s="2" t="inlineStr">
        <is>
          <t>מע"ר דרום</t>
        </is>
      </c>
      <c r="D21" s="2" t="inlineStr">
        <is>
          <t>מגרש 1</t>
        </is>
      </c>
      <c r="E21" s="2" t="inlineStr"/>
      <c r="F21" s="2" t="inlineStr">
        <is>
          <t>603-0477232</t>
        </is>
      </c>
      <c r="G21" s="2" t="inlineStr"/>
      <c r="H21" s="2" t="inlineStr"/>
      <c r="I21" s="2" t="inlineStr"/>
      <c r="J21" s="2" t="inlineStr"/>
      <c r="K21" s="2" t="inlineStr"/>
      <c r="L21" s="2" t="inlineStr">
        <is>
          <t>אד' גיל מינסטר</t>
        </is>
      </c>
      <c r="M21" s="2" t="inlineStr"/>
      <c r="N21" s="2" t="inlineStr"/>
      <c r="O21" s="2" t="inlineStr"/>
      <c r="P21" s="2" t="inlineStr"/>
      <c r="Q21" s="3" t="n">
        <v>45866</v>
      </c>
      <c r="R21" s="3" t="n"/>
      <c r="S21" s="2" t="inlineStr"/>
      <c r="T21" s="2" t="inlineStr"/>
      <c r="U21" s="2" t="inlineStr">
        <is>
          <t>הושלם</t>
        </is>
      </c>
      <c r="V21" s="2" t="inlineStr">
        <is>
          <t>ענת שטיבלמן</t>
        </is>
      </c>
      <c r="W21" s="2" t="inlineStr"/>
      <c r="X21" s="2" t="inlineStr"/>
    </row>
    <row r="22">
      <c r="A22" s="2" t="n">
        <v>1871</v>
      </c>
      <c r="B22" s="2" t="inlineStr">
        <is>
          <t>תב/1871</t>
        </is>
      </c>
      <c r="C22" s="2" t="inlineStr">
        <is>
          <t>מרינה</t>
        </is>
      </c>
      <c r="D22" s="2" t="inlineStr">
        <is>
          <t>מגרש 42,43,44</t>
        </is>
      </c>
      <c r="E22" s="2" t="inlineStr">
        <is>
          <t>תוכנית בינוי - תב/1871 - מרינה - מגרשים 42,43,44</t>
        </is>
      </c>
      <c r="F22" s="2" t="inlineStr">
        <is>
          <t>112//101/02/3</t>
        </is>
      </c>
      <c r="G22" s="2" t="inlineStr">
        <is>
          <t>מלונאות ומסחר</t>
        </is>
      </c>
      <c r="H22" s="2" t="inlineStr">
        <is>
          <t>גוש 2791</t>
        </is>
      </c>
      <c r="I22" s="2" t="inlineStr">
        <is>
          <t>אסנג'לוב</t>
        </is>
      </c>
      <c r="J22" s="2" t="inlineStr"/>
      <c r="K22" s="2" t="inlineStr"/>
      <c r="L22" s="2" t="inlineStr">
        <is>
          <t>רוזן אדריכלים - דני רוזן</t>
        </is>
      </c>
      <c r="M22" s="2" t="inlineStr">
        <is>
          <t>054-5226221</t>
        </is>
      </c>
      <c r="N22" s="2" t="inlineStr">
        <is>
          <t>Rozen.arch@gmail.com</t>
        </is>
      </c>
      <c r="O22" s="2" t="inlineStr">
        <is>
          <t>טל שי</t>
        </is>
      </c>
      <c r="P22" s="2" t="inlineStr">
        <is>
          <t>050-5339348</t>
        </is>
      </c>
      <c r="Q22" s="3" t="n">
        <v>45914</v>
      </c>
      <c r="R22" s="3" t="n">
        <v>46098</v>
      </c>
      <c r="S22" s="2" t="inlineStr">
        <is>
          <t>202605</t>
        </is>
      </c>
      <c r="T22" s="2" t="inlineStr">
        <is>
          <t>לאשר את תכנית הבינוי</t>
        </is>
      </c>
      <c r="U22" s="2" t="inlineStr">
        <is>
          <t>הושלם</t>
        </is>
      </c>
      <c r="V22" s="2" t="inlineStr">
        <is>
          <t>ענת שטיבלמן</t>
        </is>
      </c>
      <c r="W22" s="2" t="inlineStr">
        <is>
          <t>הקלות במפלס 0.00 (מ-7.50+ ל-15.0+), מניין קומות (3 מתחת + 16 מעל), ניוד כ-600 מ"ר מתחת ל-0.00, חריגה עד 4 מ' מקו בניין קדמי, מיקום חניה בין מגרשים סמוכים, תקן חניה ארצי, ביטול קירוי מעבר</t>
        </is>
      </c>
      <c r="X22" s="2" t="inlineStr"/>
    </row>
    <row r="23">
      <c r="A23" s="2" t="n">
        <v>1873</v>
      </c>
      <c r="B23" s="2" t="inlineStr">
        <is>
          <t>תב/1873</t>
        </is>
      </c>
      <c r="C23" s="2" t="inlineStr">
        <is>
          <t>מע"ר דרום</t>
        </is>
      </c>
      <c r="D23" s="2" t="inlineStr">
        <is>
          <t>מגרש 23</t>
        </is>
      </c>
      <c r="E23" s="2" t="inlineStr">
        <is>
          <t>תוכנית בינוי תב/1873 - מגרש 23</t>
        </is>
      </c>
      <c r="F23" s="2" t="inlineStr">
        <is>
          <t>603-0477232</t>
        </is>
      </c>
      <c r="G23" s="2" t="inlineStr"/>
      <c r="H23" s="2" t="inlineStr">
        <is>
          <t>גוש 3174 חלקה 22</t>
        </is>
      </c>
      <c r="I23" s="2" t="inlineStr">
        <is>
          <t>ש.ס. אדיר חברה ליזמות והשקעות בע"מ</t>
        </is>
      </c>
      <c r="J23" s="2" t="inlineStr">
        <is>
          <t>050-4000742 (שאול אקב)</t>
        </is>
      </c>
      <c r="K23" s="2" t="inlineStr">
        <is>
          <t>Shaul.101a@gmail.com</t>
        </is>
      </c>
      <c r="L23" s="2" t="inlineStr">
        <is>
          <t>וולטר שיינקמן</t>
        </is>
      </c>
      <c r="M23" s="2" t="inlineStr">
        <is>
          <t>050-5271069</t>
        </is>
      </c>
      <c r="N23" s="2" t="inlineStr">
        <is>
          <t>walter@walter.co.il</t>
        </is>
      </c>
      <c r="O23" s="2" t="inlineStr"/>
      <c r="P23" s="2" t="inlineStr"/>
      <c r="Q23" s="3" t="n">
        <v>45914</v>
      </c>
      <c r="R23" s="3" t="n">
        <v>45965</v>
      </c>
      <c r="S23" s="2" t="inlineStr">
        <is>
          <t>202514</t>
        </is>
      </c>
      <c r="T23" s="2" t="inlineStr">
        <is>
          <t>לאשר את תכנית הבינוי</t>
        </is>
      </c>
      <c r="U23" s="2" t="inlineStr">
        <is>
          <t>הושלם</t>
        </is>
      </c>
      <c r="V23" s="2" t="inlineStr">
        <is>
          <t>ענת שטיבלמן</t>
        </is>
      </c>
      <c r="W23" s="2" t="inlineStr"/>
      <c r="X23" s="2" t="inlineStr"/>
    </row>
    <row r="24">
      <c r="A24" s="2" t="n">
        <v>1885</v>
      </c>
      <c r="B24" s="2" t="inlineStr">
        <is>
          <t>תב/1885</t>
        </is>
      </c>
      <c r="C24" s="2" t="inlineStr">
        <is>
          <t>ב'</t>
        </is>
      </c>
      <c r="D24" s="2" t="inlineStr">
        <is>
          <t>מגרש מתחם סוהו - רחוב האורגים</t>
        </is>
      </c>
      <c r="E24" s="2" t="inlineStr"/>
      <c r="F24" s="2" t="inlineStr">
        <is>
          <t>603-0590729</t>
        </is>
      </c>
      <c r="G24" s="2" t="inlineStr"/>
      <c r="H24" s="2" t="inlineStr"/>
      <c r="I24" s="2" t="inlineStr"/>
      <c r="J24" s="2" t="inlineStr"/>
      <c r="K24" s="2" t="inlineStr"/>
      <c r="L24" s="2" t="inlineStr">
        <is>
          <t>אד' לאה שניאור</t>
        </is>
      </c>
      <c r="M24" s="2" t="inlineStr"/>
      <c r="N24" s="2" t="inlineStr"/>
      <c r="O24" s="2" t="inlineStr"/>
      <c r="P24" s="2" t="inlineStr"/>
      <c r="Q24" s="3" t="n">
        <v>45931</v>
      </c>
      <c r="R24" s="3" t="n"/>
      <c r="S24" s="2" t="inlineStr"/>
      <c r="T24" s="2" t="inlineStr"/>
      <c r="U24" s="2" t="inlineStr">
        <is>
          <t>הושלם</t>
        </is>
      </c>
      <c r="V24" s="2" t="inlineStr">
        <is>
          <t>ענת שטיבלמן</t>
        </is>
      </c>
      <c r="W24" s="2" t="inlineStr"/>
      <c r="X24" s="2" t="inlineStr"/>
    </row>
    <row r="25">
      <c r="A25" s="2" t="n">
        <v>1876</v>
      </c>
      <c r="B25" s="2" t="inlineStr">
        <is>
          <t>תב/1876</t>
        </is>
      </c>
      <c r="C25" s="2" t="inlineStr">
        <is>
          <t>מיוחד</t>
        </is>
      </c>
      <c r="D25" s="2" t="inlineStr">
        <is>
          <t>מגרש 618</t>
        </is>
      </c>
      <c r="E25" s="2" t="inlineStr">
        <is>
          <t>תוכנית בינוי תב/1876 - מגרש 618 - שינוי לתוכנית בינוי תב/1713</t>
        </is>
      </c>
      <c r="F25" s="2" t="inlineStr">
        <is>
          <t>603-0811588</t>
        </is>
      </c>
      <c r="G25" s="2" t="inlineStr">
        <is>
          <t>מגורים, תוספת שטחי מסחר</t>
        </is>
      </c>
      <c r="H25" s="2" t="inlineStr">
        <is>
          <t>גוש 2022 חלקה 7</t>
        </is>
      </c>
      <c r="I25" s="2" t="inlineStr">
        <is>
          <t>חברת רוטשטיין</t>
        </is>
      </c>
      <c r="J25" s="2" t="inlineStr"/>
      <c r="K25" s="2" t="inlineStr"/>
      <c r="L25" s="2" t="inlineStr">
        <is>
          <t>יואב אומן</t>
        </is>
      </c>
      <c r="M25" s="2" t="inlineStr">
        <is>
          <t>054-4431637</t>
        </is>
      </c>
      <c r="N25" s="2" t="inlineStr">
        <is>
          <t>yoav@tito-oman.com</t>
        </is>
      </c>
      <c r="O25" s="2" t="inlineStr">
        <is>
          <t>מרים סולומון (חברת רוטשטיין)</t>
        </is>
      </c>
      <c r="P25" s="2" t="inlineStr">
        <is>
          <t>054-4720940</t>
        </is>
      </c>
      <c r="Q25" s="3" t="n">
        <v>45956</v>
      </c>
      <c r="R25" s="3" t="n">
        <v>45965</v>
      </c>
      <c r="S25" s="2" t="inlineStr">
        <is>
          <t>202514</t>
        </is>
      </c>
      <c r="T25" s="2" t="inlineStr">
        <is>
          <t>לאשר את תכנית הבינוי</t>
        </is>
      </c>
      <c r="U25" s="2" t="inlineStr">
        <is>
          <t>הושלם</t>
        </is>
      </c>
      <c r="V25" s="2" t="inlineStr">
        <is>
          <t>ענת שטיבלמן</t>
        </is>
      </c>
      <c r="W25" s="2" t="inlineStr"/>
      <c r="X25" s="2" t="inlineStr"/>
    </row>
    <row r="26">
      <c r="A26" s="2" t="n">
        <v>1886</v>
      </c>
      <c r="B26" s="2" t="inlineStr">
        <is>
          <t>תב/1886</t>
        </is>
      </c>
      <c r="C26" s="2" t="inlineStr">
        <is>
          <t>מע"ר דרום</t>
        </is>
      </c>
      <c r="D26" s="2" t="inlineStr">
        <is>
          <t>מגרש 2</t>
        </is>
      </c>
      <c r="E26" s="2" t="inlineStr"/>
      <c r="F26" s="2" t="inlineStr">
        <is>
          <t>603-0477232</t>
        </is>
      </c>
      <c r="G26" s="2" t="inlineStr"/>
      <c r="H26" s="2" t="inlineStr"/>
      <c r="I26" s="2" t="inlineStr"/>
      <c r="J26" s="2" t="inlineStr"/>
      <c r="K26" s="2" t="inlineStr"/>
      <c r="L26" s="2" t="inlineStr">
        <is>
          <t>אד' גיל מיניסטר</t>
        </is>
      </c>
      <c r="M26" s="2" t="inlineStr"/>
      <c r="N26" s="2" t="inlineStr"/>
      <c r="O26" s="2" t="inlineStr"/>
      <c r="P26" s="2" t="inlineStr"/>
      <c r="Q26" s="3" t="n">
        <v>45962</v>
      </c>
      <c r="R26" s="3" t="n"/>
      <c r="S26" s="2" t="inlineStr"/>
      <c r="T26" s="2" t="inlineStr"/>
      <c r="U26" s="2" t="inlineStr">
        <is>
          <t>הושלם</t>
        </is>
      </c>
      <c r="V26" s="2" t="inlineStr">
        <is>
          <t>ענת שטיבלמן</t>
        </is>
      </c>
      <c r="W26" s="2" t="inlineStr"/>
      <c r="X26" s="2" t="inlineStr"/>
    </row>
    <row r="27">
      <c r="A27" s="2" t="n">
        <v>1887</v>
      </c>
      <c r="B27" s="2" t="inlineStr">
        <is>
          <t>תב/1887</t>
        </is>
      </c>
      <c r="C27" s="2" t="inlineStr">
        <is>
          <t>ה'</t>
        </is>
      </c>
      <c r="D27" s="2" t="inlineStr">
        <is>
          <t>מגרש נאות ספיר</t>
        </is>
      </c>
      <c r="E27" s="2" t="inlineStr"/>
      <c r="F27" s="2" t="inlineStr">
        <is>
          <t>תמל 2024</t>
        </is>
      </c>
      <c r="G27" s="2" t="inlineStr"/>
      <c r="H27" s="2" t="inlineStr"/>
      <c r="I27" s="2" t="inlineStr"/>
      <c r="J27" s="2" t="inlineStr"/>
      <c r="K27" s="2" t="inlineStr"/>
      <c r="L27" s="2" t="inlineStr">
        <is>
          <t>אד' יגאל לוי</t>
        </is>
      </c>
      <c r="M27" s="2" t="inlineStr"/>
      <c r="N27" s="2" t="inlineStr"/>
      <c r="O27" s="2" t="inlineStr"/>
      <c r="P27" s="2" t="inlineStr"/>
      <c r="Q27" s="3" t="n">
        <v>45992</v>
      </c>
      <c r="R27" s="3" t="n"/>
      <c r="S27" s="2" t="inlineStr"/>
      <c r="T27" s="2" t="inlineStr"/>
      <c r="U27" s="2" t="inlineStr">
        <is>
          <t>הושלם</t>
        </is>
      </c>
      <c r="V27" s="2" t="inlineStr">
        <is>
          <t>ענת שטיבלמן</t>
        </is>
      </c>
      <c r="W27" s="2" t="inlineStr"/>
      <c r="X27" s="2" t="inlineStr"/>
    </row>
    <row r="28">
      <c r="A28" s="2" t="n">
        <v>1888</v>
      </c>
      <c r="B28" s="2" t="inlineStr">
        <is>
          <t>תב/1888</t>
        </is>
      </c>
      <c r="C28" s="2" t="inlineStr">
        <is>
          <t>ח'</t>
        </is>
      </c>
      <c r="D28" s="2" t="inlineStr">
        <is>
          <t>מגרש רותם פלדות - תדהר</t>
        </is>
      </c>
      <c r="E28" s="2" t="inlineStr"/>
      <c r="F28" s="2" t="inlineStr">
        <is>
          <t>603-1460740</t>
        </is>
      </c>
      <c r="G28" s="2" t="inlineStr"/>
      <c r="H28" s="2" t="inlineStr"/>
      <c r="I28" s="2" t="inlineStr"/>
      <c r="J28" s="2" t="inlineStr"/>
      <c r="K28" s="2" t="inlineStr"/>
      <c r="L28" s="2" t="inlineStr">
        <is>
          <t>אד' גיל מיניסטר</t>
        </is>
      </c>
      <c r="M28" s="2" t="inlineStr"/>
      <c r="N28" s="2" t="inlineStr"/>
      <c r="O28" s="2" t="inlineStr"/>
      <c r="P28" s="2" t="inlineStr"/>
      <c r="Q28" s="3" t="n">
        <v>45992</v>
      </c>
      <c r="R28" s="3" t="n"/>
      <c r="S28" s="2" t="inlineStr"/>
      <c r="T28" s="2" t="inlineStr"/>
      <c r="U28" s="2" t="inlineStr">
        <is>
          <t>הושלם</t>
        </is>
      </c>
      <c r="V28" s="2" t="inlineStr">
        <is>
          <t>ענת שטיבלמן</t>
        </is>
      </c>
      <c r="W28" s="2" t="inlineStr"/>
      <c r="X28" s="2" t="inlineStr"/>
    </row>
    <row r="29">
      <c r="A29" s="2" t="n">
        <v>1880</v>
      </c>
      <c r="B29" s="2" t="inlineStr">
        <is>
          <t>תב/1880</t>
        </is>
      </c>
      <c r="C29" s="2" t="inlineStr">
        <is>
          <t>מע"ר דרום</t>
        </is>
      </c>
      <c r="D29" s="2" t="inlineStr">
        <is>
          <t>מגרש 11</t>
        </is>
      </c>
      <c r="E29" s="2" t="inlineStr">
        <is>
          <t>תוכנית בינוי תב/1880 - שינוי לתוכנית בינוי קיימת - מער דרום - מגרש 11</t>
        </is>
      </c>
      <c r="F29" s="2" t="inlineStr">
        <is>
          <t>603-0477232</t>
        </is>
      </c>
      <c r="G29" s="2" t="inlineStr">
        <is>
          <t>תוספת זכויות בניה ויח"ד ברובע מע"ר דרום</t>
        </is>
      </c>
      <c r="H29" s="2" t="inlineStr">
        <is>
          <t>גוש 3174 חלקה 31</t>
        </is>
      </c>
      <c r="I29" s="2" t="inlineStr">
        <is>
          <t>אוצר בניה והשקעות בע"מ (צחי אבו)</t>
        </is>
      </c>
      <c r="J29" s="2" t="inlineStr">
        <is>
          <t>0502761321</t>
        </is>
      </c>
      <c r="K29" s="2" t="inlineStr">
        <is>
          <t>k0502761321@gmail.com</t>
        </is>
      </c>
      <c r="L29" s="2" t="inlineStr">
        <is>
          <t>בסאם נאסר</t>
        </is>
      </c>
      <c r="M29" s="2" t="inlineStr">
        <is>
          <t>0504255961</t>
        </is>
      </c>
      <c r="N29" s="2" t="inlineStr">
        <is>
          <t>arch.bn.tira@gmail.com</t>
        </is>
      </c>
      <c r="O29" s="2" t="inlineStr"/>
      <c r="P29" s="2" t="inlineStr"/>
      <c r="Q29" s="3" t="n">
        <v>46000</v>
      </c>
      <c r="R29" s="3" t="n">
        <v>46028</v>
      </c>
      <c r="S29" s="2" t="inlineStr">
        <is>
          <t>202601</t>
        </is>
      </c>
      <c r="T29" s="2" t="inlineStr">
        <is>
          <t>לאשר את תכנית הבינוי.</t>
        </is>
      </c>
      <c r="U29" s="2" t="inlineStr">
        <is>
          <t>הושלם</t>
        </is>
      </c>
      <c r="V29" s="2" t="inlineStr">
        <is>
          <t>ענת שטיבלמן</t>
        </is>
      </c>
      <c r="W29" s="2" t="inlineStr"/>
      <c r="X29" s="2" t="inlineStr"/>
    </row>
    <row r="30">
      <c r="A30" s="2" t="n">
        <v>1901</v>
      </c>
      <c r="B30" s="2" t="inlineStr">
        <is>
          <t>תב/1901</t>
        </is>
      </c>
      <c r="C30" s="2" t="inlineStr">
        <is>
          <t>חוף יא</t>
        </is>
      </c>
      <c r="D30" s="2" t="inlineStr">
        <is>
          <t>מגרש חוף יא</t>
        </is>
      </c>
      <c r="E30" s="2" t="inlineStr">
        <is>
          <t>פארק ספריי אשדוד — פארק משחקי מים</t>
        </is>
      </c>
      <c r="F30" s="2" t="inlineStr">
        <is>
          <t>14/118/03/3</t>
        </is>
      </c>
      <c r="G30" s="2" t="inlineStr">
        <is>
          <t>שטח ציבורי פתוח</t>
        </is>
      </c>
      <c r="H30" s="2" t="inlineStr">
        <is>
          <t>גוש 2791</t>
        </is>
      </c>
      <c r="I30" s="2" t="inlineStr">
        <is>
          <t>אדיר מלכה</t>
        </is>
      </c>
      <c r="J30" s="2" t="inlineStr">
        <is>
          <t>050-7483784</t>
        </is>
      </c>
      <c r="K30" s="2" t="inlineStr">
        <is>
          <t>watergoal@hotmail.com</t>
        </is>
      </c>
      <c r="L30" s="2" t="inlineStr">
        <is>
          <t>אייל לוגאסי</t>
        </is>
      </c>
      <c r="M30" s="2" t="inlineStr">
        <is>
          <t>052-3443825</t>
        </is>
      </c>
      <c r="N30" s="2" t="inlineStr">
        <is>
          <t>eyalarch@gmail.com</t>
        </is>
      </c>
      <c r="O30" s="2" t="inlineStr"/>
      <c r="P30" s="2" t="inlineStr"/>
      <c r="Q30" s="3" t="n">
        <v>46089</v>
      </c>
      <c r="R30" s="3" t="n">
        <v>46098</v>
      </c>
      <c r="S30" s="2" t="inlineStr">
        <is>
          <t>202605</t>
        </is>
      </c>
      <c r="T30" s="2" t="inlineStr">
        <is>
          <t>לאשר את תכנית הבינוי</t>
        </is>
      </c>
      <c r="U30" s="2" t="inlineStr">
        <is>
          <t>הושלם</t>
        </is>
      </c>
      <c r="V30" s="2" t="inlineStr">
        <is>
          <t>ענת שטיבלמן</t>
        </is>
      </c>
      <c r="W30" s="2" t="inlineStr"/>
      <c r="X30" s="2" t="inlineStr"/>
    </row>
    <row r="31">
      <c r="A31" s="2" t="n">
        <v>1902</v>
      </c>
      <c r="B31" s="2" t="inlineStr">
        <is>
          <t>תב/1902</t>
        </is>
      </c>
      <c r="C31" s="2" t="inlineStr">
        <is>
          <t>חנ"י</t>
        </is>
      </c>
      <c r="D31" s="2" t="inlineStr">
        <is>
          <t>מגרש נמל אשדוד</t>
        </is>
      </c>
      <c r="E31" s="2" t="inlineStr"/>
      <c r="F31" s="2" t="inlineStr">
        <is>
          <t>47/101/02/3</t>
        </is>
      </c>
      <c r="G31" s="2" t="inlineStr"/>
      <c r="H31" s="2" t="inlineStr"/>
      <c r="I31" s="2" t="inlineStr"/>
      <c r="J31" s="2" t="inlineStr"/>
      <c r="K31" s="2" t="inlineStr"/>
      <c r="L31" s="2" t="inlineStr">
        <is>
          <t>אד' יבגני ברופמן</t>
        </is>
      </c>
      <c r="M31" s="2" t="inlineStr"/>
      <c r="N31" s="2" t="inlineStr"/>
      <c r="O31" s="2" t="inlineStr"/>
      <c r="P31" s="2" t="inlineStr"/>
      <c r="Q31" s="3" t="n">
        <v>46089</v>
      </c>
      <c r="R31" s="3" t="n"/>
      <c r="S31" s="2" t="inlineStr"/>
      <c r="T31" s="2" t="inlineStr"/>
      <c r="U31" s="2" t="inlineStr">
        <is>
          <t>הושלם</t>
        </is>
      </c>
      <c r="V31" s="2" t="inlineStr">
        <is>
          <t>ענת שטיבלמן</t>
        </is>
      </c>
      <c r="W31" s="2" t="inlineStr"/>
      <c r="X31" s="2" t="inlineStr"/>
    </row>
    <row r="32">
      <c r="A32" s="2" t="n">
        <v>1908</v>
      </c>
      <c r="B32" s="2" t="inlineStr">
        <is>
          <t>תב/1908</t>
        </is>
      </c>
      <c r="C32" s="2" t="inlineStr">
        <is>
          <t>מע"ר דרום</t>
        </is>
      </c>
      <c r="D32" s="2" t="inlineStr">
        <is>
          <t>מגרש מער דרום</t>
        </is>
      </c>
      <c r="E32" s="2" t="inlineStr"/>
      <c r="F32" s="2" t="inlineStr">
        <is>
          <t>603-0477232</t>
        </is>
      </c>
      <c r="G32" s="2" t="inlineStr"/>
      <c r="H32" s="2" t="inlineStr"/>
      <c r="I32" s="2" t="inlineStr"/>
      <c r="J32" s="2" t="inlineStr"/>
      <c r="K32" s="2" t="inlineStr"/>
      <c r="L32" s="2" t="inlineStr">
        <is>
          <t>אד' אפרייט</t>
        </is>
      </c>
      <c r="M32" s="2" t="inlineStr"/>
      <c r="N32" s="2" t="inlineStr"/>
      <c r="O32" s="2" t="inlineStr"/>
      <c r="P32" s="2" t="inlineStr"/>
      <c r="Q32" s="3" t="n">
        <v>46180</v>
      </c>
      <c r="R32" s="3" t="n"/>
      <c r="S32" s="2" t="inlineStr"/>
      <c r="T32" s="2" t="inlineStr"/>
      <c r="U32" s="2" t="inlineStr">
        <is>
          <t>הושלם</t>
        </is>
      </c>
      <c r="V32" s="2" t="inlineStr">
        <is>
          <t>ענת שטיבלמן</t>
        </is>
      </c>
      <c r="W32" s="2" t="inlineStr"/>
      <c r="X32" s="2" t="inlineStr"/>
    </row>
    <row r="33">
      <c r="A33" s="2" t="n">
        <v>1909</v>
      </c>
      <c r="B33" s="2" t="inlineStr">
        <is>
          <t>תב/1909</t>
        </is>
      </c>
      <c r="C33" s="2" t="inlineStr">
        <is>
          <t>א</t>
        </is>
      </c>
      <c r="D33" s="2" t="inlineStr">
        <is>
          <t>מגרש מתחם האצטדיון</t>
        </is>
      </c>
      <c r="E33" s="2" t="inlineStr"/>
      <c r="F33" s="2" t="inlineStr">
        <is>
          <t>603-1308642</t>
        </is>
      </c>
      <c r="G33" s="2" t="inlineStr"/>
      <c r="H33" s="2" t="inlineStr"/>
      <c r="I33" s="2" t="inlineStr"/>
      <c r="J33" s="2" t="inlineStr"/>
      <c r="K33" s="2" t="inlineStr"/>
      <c r="L33" s="2" t="inlineStr">
        <is>
          <t>אד' איגרא</t>
        </is>
      </c>
      <c r="M33" s="2" t="inlineStr"/>
      <c r="N33" s="2" t="inlineStr"/>
      <c r="O33" s="2" t="inlineStr"/>
      <c r="P33" s="2" t="inlineStr"/>
      <c r="Q33" s="3" t="n">
        <v>46181</v>
      </c>
      <c r="R33" s="3" t="n"/>
      <c r="S33" s="2" t="inlineStr"/>
      <c r="T33" s="2" t="inlineStr"/>
      <c r="U33" s="2" t="inlineStr">
        <is>
          <t>טרם עודכן</t>
        </is>
      </c>
      <c r="V33" s="2" t="inlineStr">
        <is>
          <t>ענת שטיבלמן</t>
        </is>
      </c>
      <c r="W33" s="2" t="inlineStr"/>
      <c r="X33" s="2" t="inlineStr"/>
    </row>
    <row r="34">
      <c r="A34" s="2" t="n">
        <v>1910</v>
      </c>
      <c r="B34" s="2" t="inlineStr">
        <is>
          <t>תב/1910</t>
        </is>
      </c>
      <c r="C34" s="2" t="inlineStr">
        <is>
          <t>א</t>
        </is>
      </c>
      <c r="D34" s="2" t="inlineStr">
        <is>
          <t>מגרש מרכז א</t>
        </is>
      </c>
      <c r="E34" s="2" t="inlineStr"/>
      <c r="F34" s="2" t="inlineStr">
        <is>
          <t>603-0391219</t>
        </is>
      </c>
      <c r="G34" s="2" t="inlineStr"/>
      <c r="H34" s="2" t="inlineStr"/>
      <c r="I34" s="2" t="inlineStr"/>
      <c r="J34" s="2" t="inlineStr"/>
      <c r="K34" s="2" t="inlineStr"/>
      <c r="L34" s="2" t="inlineStr">
        <is>
          <t>אד' גיל מיניסטר</t>
        </is>
      </c>
      <c r="M34" s="2" t="inlineStr"/>
      <c r="N34" s="2" t="inlineStr"/>
      <c r="O34" s="2" t="inlineStr"/>
      <c r="P34" s="2" t="inlineStr"/>
      <c r="Q34" s="3" t="n">
        <v>46182</v>
      </c>
      <c r="R34" s="3" t="n"/>
      <c r="S34" s="2" t="inlineStr"/>
      <c r="T34" s="2" t="inlineStr"/>
      <c r="U34" s="2" t="inlineStr">
        <is>
          <t>בטיפול</t>
        </is>
      </c>
      <c r="V34" s="2" t="inlineStr">
        <is>
          <t>ענת שטיבלמן</t>
        </is>
      </c>
      <c r="W34" s="2" t="inlineStr"/>
      <c r="X34" s="4" t="inlineStr">
        <is>
          <t>בארכיון נמצא מסמך תב/1910 אחר (שינוי קווי בניין - בוזגלו 40,50 רובע ט' אשדוד, ועדה 24/02/2026) — לא שויך</t>
        </is>
      </c>
    </row>
    <row r="35">
      <c r="A35" s="2" t="n">
        <v>1911</v>
      </c>
      <c r="B35" s="2" t="inlineStr">
        <is>
          <t>תב/1911</t>
        </is>
      </c>
      <c r="C35" s="2" t="inlineStr">
        <is>
          <t>ב</t>
        </is>
      </c>
      <c r="D35" s="2" t="inlineStr">
        <is>
          <t>מגרש מתחם הרב מימון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>
        <is>
          <t>אד' גיל מיניסטר</t>
        </is>
      </c>
      <c r="M35" s="2" t="inlineStr"/>
      <c r="N35" s="2" t="inlineStr"/>
      <c r="O35" s="2" t="inlineStr"/>
      <c r="P35" s="2" t="inlineStr"/>
      <c r="Q35" s="3" t="n">
        <v>46183</v>
      </c>
      <c r="R35" s="3" t="n"/>
      <c r="S35" s="2" t="inlineStr"/>
      <c r="T35" s="2" t="inlineStr"/>
      <c r="U35" s="2" t="inlineStr">
        <is>
          <t>בטיפול</t>
        </is>
      </c>
      <c r="V35" s="2" t="inlineStr">
        <is>
          <t>ענת שטיבלמן</t>
        </is>
      </c>
      <c r="W35" s="2" t="inlineStr"/>
      <c r="X35" s="2" t="inlineStr"/>
    </row>
    <row r="36">
      <c r="A36" s="2" t="n">
        <v>1912</v>
      </c>
      <c r="B36" s="2" t="inlineStr">
        <is>
          <t>תב/1912</t>
        </is>
      </c>
      <c r="C36" s="2" t="inlineStr">
        <is>
          <t>ב</t>
        </is>
      </c>
      <c r="D36" s="2" t="inlineStr">
        <is>
          <t>מגרש מתחם המעפילים</t>
        </is>
      </c>
      <c r="E36" s="2" t="inlineStr"/>
      <c r="F36" s="2" t="inlineStr">
        <is>
          <t>תמל 2022</t>
        </is>
      </c>
      <c r="G36" s="2" t="inlineStr"/>
      <c r="H36" s="2" t="inlineStr"/>
      <c r="I36" s="2" t="inlineStr"/>
      <c r="J36" s="2" t="inlineStr"/>
      <c r="K36" s="2" t="inlineStr"/>
      <c r="L36" s="2" t="inlineStr">
        <is>
          <t>אד' גיל מיניסטר</t>
        </is>
      </c>
      <c r="M36" s="2" t="inlineStr"/>
      <c r="N36" s="2" t="inlineStr"/>
      <c r="O36" s="2" t="inlineStr"/>
      <c r="P36" s="2" t="inlineStr"/>
      <c r="Q36" s="3" t="n">
        <v>46184</v>
      </c>
      <c r="R36" s="3" t="n"/>
      <c r="S36" s="2" t="inlineStr"/>
      <c r="T36" s="2" t="inlineStr"/>
      <c r="U36" s="2" t="inlineStr">
        <is>
          <t>בטיפול</t>
        </is>
      </c>
      <c r="V36" s="2" t="inlineStr">
        <is>
          <t>ענת שטיבלמן</t>
        </is>
      </c>
      <c r="W36" s="2" t="inlineStr"/>
      <c r="X36" s="2" t="inlineStr"/>
    </row>
    <row r="37">
      <c r="A37" s="2" t="n">
        <v>1913</v>
      </c>
      <c r="B37" s="2" t="inlineStr">
        <is>
          <t>תב/1913</t>
        </is>
      </c>
      <c r="C37" s="2" t="inlineStr">
        <is>
          <t>אחד העם</t>
        </is>
      </c>
      <c r="D37" s="2" t="inlineStr">
        <is>
          <t>מגרש ציר הרצל אחד העם</t>
        </is>
      </c>
      <c r="E37" s="2" t="inlineStr"/>
      <c r="F37" s="2" t="inlineStr">
        <is>
          <t>תמל 2023</t>
        </is>
      </c>
      <c r="G37" s="2" t="inlineStr"/>
      <c r="H37" s="2" t="inlineStr"/>
      <c r="I37" s="2" t="inlineStr"/>
      <c r="J37" s="2" t="inlineStr"/>
      <c r="K37" s="2" t="inlineStr"/>
      <c r="L37" s="2" t="inlineStr">
        <is>
          <t>אד' גיל מיניסטר</t>
        </is>
      </c>
      <c r="M37" s="2" t="inlineStr"/>
      <c r="N37" s="2" t="inlineStr"/>
      <c r="O37" s="2" t="inlineStr"/>
      <c r="P37" s="2" t="inlineStr"/>
      <c r="Q37" s="3" t="n">
        <v>46185</v>
      </c>
      <c r="R37" s="3" t="n"/>
      <c r="S37" s="2" t="inlineStr"/>
      <c r="T37" s="2" t="inlineStr"/>
      <c r="U37" s="2" t="inlineStr">
        <is>
          <t>בטיפול</t>
        </is>
      </c>
      <c r="V37" s="2" t="inlineStr">
        <is>
          <t>ענת שטיבלמן</t>
        </is>
      </c>
      <c r="W37" s="2" t="inlineStr"/>
      <c r="X37" s="2" t="inlineStr"/>
    </row>
    <row r="38">
      <c r="A38" s="2" t="n">
        <v>1802</v>
      </c>
      <c r="B38" s="2" t="inlineStr">
        <is>
          <t>תב/1802</t>
        </is>
      </c>
      <c r="C38" s="2" t="inlineStr">
        <is>
          <t>ריביירה</t>
        </is>
      </c>
      <c r="D38" s="2" t="inlineStr">
        <is>
          <t>מגרש טניס</t>
        </is>
      </c>
      <c r="E38" s="2" t="inlineStr">
        <is>
          <t>תוכנית בינוי - תב/1802 - ריביירה - מגרש 8ב - מגרשי הטניס</t>
        </is>
      </c>
      <c r="F38" s="2" t="inlineStr">
        <is>
          <t>44/101/02/3</t>
        </is>
      </c>
      <c r="G38" s="2" t="inlineStr">
        <is>
          <t>ספורט</t>
        </is>
      </c>
      <c r="H38" s="2" t="inlineStr">
        <is>
          <t>גוש 2002 חלקות 6, 164, 7</t>
        </is>
      </c>
      <c r="I38" s="2" t="inlineStr">
        <is>
          <t>רשות הספורט -עיריית אשדוד</t>
        </is>
      </c>
      <c r="J38" s="2" t="inlineStr">
        <is>
          <t>054-6764242</t>
        </is>
      </c>
      <c r="K38" s="2" t="inlineStr"/>
      <c r="L38" s="2" t="inlineStr">
        <is>
          <t>מידד גנדלר</t>
        </is>
      </c>
      <c r="M38" s="2" t="inlineStr">
        <is>
          <t>052-3658752</t>
        </is>
      </c>
      <c r="N38" s="2" t="inlineStr"/>
      <c r="O38" s="2" t="inlineStr">
        <is>
          <t>יורם אסרף</t>
        </is>
      </c>
      <c r="P38" s="2" t="inlineStr">
        <is>
          <t>054-6764242</t>
        </is>
      </c>
      <c r="Q38" s="3" t="n"/>
      <c r="R38" s="3" t="n">
        <v>45608</v>
      </c>
      <c r="S38" s="2" t="inlineStr">
        <is>
          <t>202409</t>
        </is>
      </c>
      <c r="T38" s="2" t="inlineStr">
        <is>
          <t>לאשר את תכנית הבינוי</t>
        </is>
      </c>
      <c r="U38" s="2" t="inlineStr">
        <is>
          <t>הושלם</t>
        </is>
      </c>
      <c r="V38" s="2" t="inlineStr">
        <is>
          <t>ענת שטיבלמן</t>
        </is>
      </c>
      <c r="W38" s="2" t="inlineStr">
        <is>
          <t>התוכנית תואמת תב"ע; הקלות אם יידרשו ייבחנו בהליך הרישוי; חניה מבוקש 134 מתוך 160 (80% תפוסה).</t>
        </is>
      </c>
      <c r="X38" s="4" t="inlineStr">
        <is>
          <t>חסר תאריך פתיחה</t>
        </is>
      </c>
    </row>
    <row r="39">
      <c r="A39" s="2" t="n">
        <v>1803</v>
      </c>
      <c r="B39" s="2" t="inlineStr">
        <is>
          <t>תב/1803</t>
        </is>
      </c>
      <c r="C39" s="2" t="inlineStr">
        <is>
          <t>פארק לכיש</t>
        </is>
      </c>
      <c r="D39" s="2" t="inlineStr">
        <is>
          <t>מגרש 503</t>
        </is>
      </c>
      <c r="E39" s="2" t="inlineStr"/>
      <c r="F39" s="2" t="inlineStr">
        <is>
          <t>תמל 1062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3" t="n"/>
      <c r="R39" s="3" t="n"/>
      <c r="S39" s="2" t="inlineStr"/>
      <c r="T39" s="2" t="inlineStr"/>
      <c r="U39" s="2" t="inlineStr">
        <is>
          <t>הושלם</t>
        </is>
      </c>
      <c r="V39" s="2" t="inlineStr">
        <is>
          <t>ענת שטיבלמן</t>
        </is>
      </c>
      <c r="W39" s="2" t="inlineStr"/>
      <c r="X39" s="4" t="inlineStr">
        <is>
          <t>חסר תאריך פתיחה</t>
        </is>
      </c>
    </row>
    <row r="40">
      <c r="A40" s="2" t="n">
        <v>1804</v>
      </c>
      <c r="B40" s="2" t="inlineStr">
        <is>
          <t>תב/1804</t>
        </is>
      </c>
      <c r="C40" s="2" t="inlineStr">
        <is>
          <t>פארק לכיש</t>
        </is>
      </c>
      <c r="D40" s="2" t="inlineStr">
        <is>
          <t>מגרש 504</t>
        </is>
      </c>
      <c r="E40" s="2" t="inlineStr"/>
      <c r="F40" s="2" t="inlineStr">
        <is>
          <t>תמל 1062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3" t="n"/>
      <c r="R40" s="3" t="n"/>
      <c r="S40" s="2" t="inlineStr"/>
      <c r="T40" s="2" t="inlineStr"/>
      <c r="U40" s="2" t="inlineStr">
        <is>
          <t>הושלם</t>
        </is>
      </c>
      <c r="V40" s="2" t="inlineStr">
        <is>
          <t>ענת שטיבלמן</t>
        </is>
      </c>
      <c r="W40" s="2" t="inlineStr"/>
      <c r="X40" s="4" t="inlineStr">
        <is>
          <t>חסר תאריך פתיחה</t>
        </is>
      </c>
    </row>
    <row r="41">
      <c r="A41" s="2" t="n">
        <v>1841</v>
      </c>
      <c r="B41" s="2" t="inlineStr">
        <is>
          <t>תב/1841</t>
        </is>
      </c>
      <c r="C41" s="2" t="inlineStr">
        <is>
          <t>מיוחד</t>
        </is>
      </c>
      <c r="D41" s="2" t="inlineStr">
        <is>
          <t>מגרש רובע מיוחד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>
        <is>
          <t>ענת שטיבלמן</t>
        </is>
      </c>
      <c r="M41" s="2" t="inlineStr"/>
      <c r="N41" s="2" t="inlineStr"/>
      <c r="O41" s="2" t="inlineStr"/>
      <c r="P41" s="2" t="inlineStr"/>
      <c r="Q41" s="3" t="n"/>
      <c r="R41" s="3" t="n"/>
      <c r="S41" s="2" t="inlineStr"/>
      <c r="T41" s="2" t="inlineStr"/>
      <c r="U41" s="2" t="inlineStr">
        <is>
          <t>הושלם</t>
        </is>
      </c>
      <c r="V41" s="2" t="inlineStr">
        <is>
          <t>ענת שטיבלמן</t>
        </is>
      </c>
      <c r="W41" s="2" t="inlineStr"/>
      <c r="X41" s="4" t="inlineStr">
        <is>
          <t>חסר תאריך פתיחה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5" t="inlineStr">
        <is>
          <t>סה״כ תוכניות</t>
        </is>
      </c>
      <c r="B1">
        <f>COUNTA('תוכניות בינוי'!$A$2:$A$41)</f>
        <v/>
      </c>
    </row>
    <row r="2">
      <c r="A2" t="inlineStr">
        <is>
          <t>עם תאריך ועדה</t>
        </is>
      </c>
      <c r="B2">
        <f>COUNT('תוכניות בינוי'!$R$2:$R$41)</f>
        <v/>
      </c>
    </row>
    <row r="4">
      <c r="A4" s="6" t="inlineStr">
        <is>
          <t>לפי סטטוס</t>
        </is>
      </c>
    </row>
    <row r="5">
      <c r="A5" s="5" t="inlineStr">
        <is>
          <t>סטטוס</t>
        </is>
      </c>
      <c r="B5" s="5" t="inlineStr">
        <is>
          <t>מס׳ תוכניות</t>
        </is>
      </c>
    </row>
    <row r="6">
      <c r="A6" t="inlineStr">
        <is>
          <t>בטיפול</t>
        </is>
      </c>
      <c r="B6">
        <f>COUNTIF('תוכניות בינוי'!$U$2:$U$41,"בטיפול")</f>
        <v/>
      </c>
    </row>
    <row r="7">
      <c r="A7" t="inlineStr">
        <is>
          <t>הושלם</t>
        </is>
      </c>
      <c r="B7">
        <f>COUNTIF('תוכניות בינוי'!$U$2:$U$41,"הושלם")</f>
        <v/>
      </c>
    </row>
    <row r="8">
      <c r="A8" t="inlineStr">
        <is>
          <t>טרם עודכן</t>
        </is>
      </c>
      <c r="B8">
        <f>COUNTIF('תוכניות בינוי'!$U$2:$U$41,"טרם עודכן")</f>
        <v/>
      </c>
    </row>
    <row r="10">
      <c r="A10" s="6" t="inlineStr">
        <is>
          <t>לפי שנת פתיחה</t>
        </is>
      </c>
    </row>
    <row r="11">
      <c r="A11" s="5" t="inlineStr">
        <is>
          <t>שנה</t>
        </is>
      </c>
      <c r="B11" s="5" t="inlineStr">
        <is>
          <t>מס׳ תוכניות</t>
        </is>
      </c>
    </row>
    <row r="12">
      <c r="A12" t="n">
        <v>2023</v>
      </c>
      <c r="B12">
        <f>COUNTIFS('תוכניות בינוי'!$Q$2:$Q$41,"&gt;="&amp;DATE(2023,1,1),'תוכניות בינוי'!$Q$2:$Q$41,"&lt;"&amp;DATE(2024,1,1))</f>
        <v/>
      </c>
    </row>
    <row r="13">
      <c r="A13" t="n">
        <v>2024</v>
      </c>
      <c r="B13">
        <f>COUNTIFS('תוכניות בינוי'!$Q$2:$Q$41,"&gt;="&amp;DATE(2024,1,1),'תוכניות בינוי'!$Q$2:$Q$41,"&lt;"&amp;DATE(2025,1,1))</f>
        <v/>
      </c>
    </row>
    <row r="14">
      <c r="A14" t="n">
        <v>2025</v>
      </c>
      <c r="B14">
        <f>COUNTIFS('תוכניות בינוי'!$Q$2:$Q$41,"&gt;="&amp;DATE(2025,1,1),'תוכניות בינוי'!$Q$2:$Q$41,"&lt;"&amp;DATE(2026,1,1))</f>
        <v/>
      </c>
    </row>
    <row r="15">
      <c r="A15" t="n">
        <v>2026</v>
      </c>
      <c r="B15">
        <f>COUNTIFS('תוכניות בינוי'!$Q$2:$Q$41,"&gt;="&amp;DATE(2026,1,1),'תוכניות בינוי'!$Q$2:$Q$41,"&lt;"&amp;DATE(2027,1,1))</f>
        <v/>
      </c>
    </row>
    <row r="17">
      <c r="A17" s="6" t="inlineStr">
        <is>
          <t>לפי רובע</t>
        </is>
      </c>
    </row>
    <row r="18">
      <c r="A18" s="5" t="inlineStr">
        <is>
          <t>רובע</t>
        </is>
      </c>
      <c r="B18" s="5" t="inlineStr">
        <is>
          <t>מס׳ תוכניות</t>
        </is>
      </c>
    </row>
    <row r="19">
      <c r="A19" t="inlineStr">
        <is>
          <t>א</t>
        </is>
      </c>
      <c r="B19">
        <f>COUNTIF('תוכניות בינוי'!$C$2:$C$41,"א")</f>
        <v/>
      </c>
    </row>
    <row r="20">
      <c r="A20" t="inlineStr">
        <is>
          <t>א'</t>
        </is>
      </c>
      <c r="B20">
        <f>COUNTIF('תוכניות בינוי'!$C$2:$C$41,"א'")</f>
        <v/>
      </c>
    </row>
    <row r="21">
      <c r="A21" t="inlineStr">
        <is>
          <t>אחד העם</t>
        </is>
      </c>
      <c r="B21">
        <f>COUNTIF('תוכניות בינוי'!$C$2:$C$41,"אחד העם")</f>
        <v/>
      </c>
    </row>
    <row r="22">
      <c r="A22" t="inlineStr">
        <is>
          <t>ב</t>
        </is>
      </c>
      <c r="B22">
        <f>COUNTIF('תוכניות בינוי'!$C$2:$C$41,"ב")</f>
        <v/>
      </c>
    </row>
    <row r="23">
      <c r="A23" t="inlineStr">
        <is>
          <t>ב'</t>
        </is>
      </c>
      <c r="B23">
        <f>COUNTIF('תוכניות בינוי'!$C$2:$C$41,"ב'")</f>
        <v/>
      </c>
    </row>
    <row r="24">
      <c r="A24" t="inlineStr">
        <is>
          <t>ה'</t>
        </is>
      </c>
      <c r="B24">
        <f>COUNTIF('תוכניות בינוי'!$C$2:$C$41,"ה'")</f>
        <v/>
      </c>
    </row>
    <row r="25">
      <c r="A25" t="inlineStr">
        <is>
          <t>ח'</t>
        </is>
      </c>
      <c r="B25">
        <f>COUNTIF('תוכניות בינוי'!$C$2:$C$41,"ח'")</f>
        <v/>
      </c>
    </row>
    <row r="26">
      <c r="A26" t="inlineStr">
        <is>
          <t>חוף הים</t>
        </is>
      </c>
      <c r="B26">
        <f>COUNTIF('תוכניות בינוי'!$C$2:$C$41,"חוף הים")</f>
        <v/>
      </c>
    </row>
    <row r="27">
      <c r="A27" t="inlineStr">
        <is>
          <t>חוף יא</t>
        </is>
      </c>
      <c r="B27">
        <f>COUNTIF('תוכניות בינוי'!$C$2:$C$41,"חוף יא")</f>
        <v/>
      </c>
    </row>
    <row r="28">
      <c r="A28" t="inlineStr">
        <is>
          <t>חנ"י</t>
        </is>
      </c>
      <c r="B28">
        <f>COUNTIF('תוכניות בינוי'!$C$2:$C$41,"חנ""י")</f>
        <v/>
      </c>
    </row>
    <row r="29">
      <c r="A29" t="inlineStr">
        <is>
          <t>ט"ז</t>
        </is>
      </c>
      <c r="B29">
        <f>COUNTIF('תוכניות בינוי'!$C$2:$C$41,"ט""ז")</f>
        <v/>
      </c>
    </row>
    <row r="30">
      <c r="A30" t="inlineStr">
        <is>
          <t>טו'</t>
        </is>
      </c>
      <c r="B30">
        <f>COUNTIF('תוכניות בינוי'!$C$2:$C$41,"טו'")</f>
        <v/>
      </c>
    </row>
    <row r="31">
      <c r="A31" t="inlineStr">
        <is>
          <t>מיוחד</t>
        </is>
      </c>
      <c r="B31">
        <f>COUNTIF('תוכניות בינוי'!$C$2:$C$41,"מיוחד")</f>
        <v/>
      </c>
    </row>
    <row r="32">
      <c r="A32" t="inlineStr">
        <is>
          <t>מע"ר דרום</t>
        </is>
      </c>
      <c r="B32">
        <f>COUNTIF('תוכניות בינוי'!$C$2:$C$41,"מע""ר דרום")</f>
        <v/>
      </c>
    </row>
    <row r="33">
      <c r="A33" t="inlineStr">
        <is>
          <t>מרינה</t>
        </is>
      </c>
      <c r="B33">
        <f>COUNTIF('תוכניות בינוי'!$C$2:$C$41,"מרינה")</f>
        <v/>
      </c>
    </row>
    <row r="34">
      <c r="A34" t="inlineStr">
        <is>
          <t>סיטי</t>
        </is>
      </c>
      <c r="B34">
        <f>COUNTIF('תוכניות בינוי'!$C$2:$C$41,"סיטי")</f>
        <v/>
      </c>
    </row>
    <row r="35">
      <c r="A35" t="inlineStr">
        <is>
          <t>פארק לכיש</t>
        </is>
      </c>
      <c r="B35">
        <f>COUNTIF('תוכניות בינוי'!$C$2:$C$41,"פארק לכיש")</f>
        <v/>
      </c>
    </row>
    <row r="36">
      <c r="A36" t="inlineStr">
        <is>
          <t>ריביירה</t>
        </is>
      </c>
      <c r="B36">
        <f>COUNTIF('תוכניות בינוי'!$C$2:$C$41,"ריביירה")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2026-10-05T12:25:22Z</dcterms:created>
  <dcterms:modified xsi:type="dcterms:W3CDTF">2026-10-05T12:25:22Z</dcterms:modified>
</cp:coreProperties>
</file>